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3842FD0-670F-4D49-92C4-D93448A15664}" xr6:coauthVersionLast="47" xr6:coauthVersionMax="47" xr10:uidLastSave="{00000000-0000-0000-0000-000000000000}"/>
  <bookViews>
    <workbookView xWindow="-120" yWindow="-120" windowWidth="20730" windowHeight="11160" firstSheet="3" activeTab="8" xr2:uid="{00000000-000D-0000-FFFF-FFFF00000000}"/>
  </bookViews>
  <sheets>
    <sheet name="Dataset for Data Analytics - cl" sheetId="1" r:id="rId1"/>
    <sheet name="Summary Table" sheetId="2" r:id="rId2"/>
    <sheet name="Count Of Product" sheetId="4" r:id="rId3"/>
    <sheet name="Status Count" sheetId="3" r:id="rId4"/>
    <sheet name="Referral" sheetId="6" r:id="rId5"/>
    <sheet name="Coupon" sheetId="7" r:id="rId6"/>
    <sheet name="Payment" sheetId="8" r:id="rId7"/>
    <sheet name="Sum" sheetId="9" r:id="rId8"/>
    <sheet name="Trend" sheetId="10" r:id="rId9"/>
    <sheet name="Outliers" sheetId="11" r:id="rId10"/>
  </sheets>
  <definedNames>
    <definedName name="Slicer_Year">#N/A</definedName>
  </definedNames>
  <calcPr calcId="181029"/>
  <pivotCaches>
    <pivotCache cacheId="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11" l="1"/>
  <c r="B4" i="11" s="1"/>
  <c r="B2" i="11"/>
  <c r="F5" i="2"/>
  <c r="F4" i="2"/>
  <c r="F3" i="2"/>
  <c r="F2" i="2"/>
  <c r="E5" i="2"/>
  <c r="E4" i="2"/>
  <c r="E3" i="2"/>
  <c r="E2" i="2"/>
  <c r="D5" i="2"/>
  <c r="D4" i="2"/>
  <c r="D3" i="2"/>
  <c r="D2" i="2"/>
  <c r="C5" i="2"/>
  <c r="C4" i="2"/>
  <c r="C3" i="2"/>
  <c r="C2" i="2"/>
  <c r="B5" i="2"/>
  <c r="B4" i="2"/>
  <c r="B3" i="2"/>
  <c r="B2" i="2"/>
  <c r="U3" i="1"/>
  <c r="U4" i="1"/>
  <c r="B5" i="11" l="1"/>
  <c r="B6" i="11"/>
  <c r="R26" i="1"/>
  <c r="R22" i="1"/>
  <c r="R18" i="1"/>
  <c r="R14" i="1"/>
  <c r="R10" i="1"/>
  <c r="R6" i="1"/>
  <c r="R1201" i="1"/>
  <c r="R1200" i="1" l="1"/>
  <c r="R1199" i="1"/>
  <c r="R7" i="1"/>
  <c r="R12" i="1"/>
  <c r="R17" i="1"/>
  <c r="R23" i="1"/>
  <c r="R28" i="1"/>
  <c r="R32" i="1"/>
  <c r="R36" i="1"/>
  <c r="R40" i="1"/>
  <c r="R44" i="1"/>
  <c r="R48" i="1"/>
  <c r="R52" i="1"/>
  <c r="R56" i="1"/>
  <c r="R60" i="1"/>
  <c r="R64" i="1"/>
  <c r="R68" i="1"/>
  <c r="R72" i="1"/>
  <c r="R76" i="1"/>
  <c r="R80" i="1"/>
  <c r="R84" i="1"/>
  <c r="R88" i="1"/>
  <c r="R92" i="1"/>
  <c r="R96" i="1"/>
  <c r="R100" i="1"/>
  <c r="R104" i="1"/>
  <c r="R108" i="1"/>
  <c r="R112" i="1"/>
  <c r="R116" i="1"/>
  <c r="R120" i="1"/>
  <c r="R124" i="1"/>
  <c r="R128" i="1"/>
  <c r="R132" i="1"/>
  <c r="R136" i="1"/>
  <c r="R140" i="1"/>
  <c r="R144" i="1"/>
  <c r="R148" i="1"/>
  <c r="R152" i="1"/>
  <c r="R156" i="1"/>
  <c r="R160" i="1"/>
  <c r="R164" i="1"/>
  <c r="R168" i="1"/>
  <c r="R172" i="1"/>
  <c r="R176" i="1"/>
  <c r="R180" i="1"/>
  <c r="R184" i="1"/>
  <c r="R188" i="1"/>
  <c r="R192" i="1"/>
  <c r="R196" i="1"/>
  <c r="R200" i="1"/>
  <c r="R204" i="1"/>
  <c r="R208" i="1"/>
  <c r="R212" i="1"/>
  <c r="R216" i="1"/>
  <c r="R220" i="1"/>
  <c r="R224" i="1"/>
  <c r="R228" i="1"/>
  <c r="R232" i="1"/>
  <c r="R236" i="1"/>
  <c r="R240" i="1"/>
  <c r="R244" i="1"/>
  <c r="R248" i="1"/>
  <c r="R252" i="1"/>
  <c r="R256" i="1"/>
  <c r="R260" i="1"/>
  <c r="R264" i="1"/>
  <c r="R268" i="1"/>
  <c r="R272" i="1"/>
  <c r="R276" i="1"/>
  <c r="R280" i="1"/>
  <c r="R284" i="1"/>
  <c r="R288" i="1"/>
  <c r="R292" i="1"/>
  <c r="R296" i="1"/>
  <c r="R300" i="1"/>
  <c r="R304" i="1"/>
  <c r="R308" i="1"/>
  <c r="R312" i="1"/>
  <c r="R316" i="1"/>
  <c r="R320" i="1"/>
  <c r="R324" i="1"/>
  <c r="R328" i="1"/>
  <c r="R332" i="1"/>
  <c r="R336" i="1"/>
  <c r="R340" i="1"/>
  <c r="R344" i="1"/>
  <c r="R8" i="1"/>
  <c r="R15" i="1"/>
  <c r="R21" i="1"/>
  <c r="R29" i="1"/>
  <c r="R34" i="1"/>
  <c r="R39" i="1"/>
  <c r="R45" i="1"/>
  <c r="R50" i="1"/>
  <c r="R55" i="1"/>
  <c r="R61" i="1"/>
  <c r="R66" i="1"/>
  <c r="R71" i="1"/>
  <c r="R77" i="1"/>
  <c r="R82" i="1"/>
  <c r="R87" i="1"/>
  <c r="R93" i="1"/>
  <c r="R98" i="1"/>
  <c r="R103" i="1"/>
  <c r="R109" i="1"/>
  <c r="R114" i="1"/>
  <c r="R119" i="1"/>
  <c r="R125" i="1"/>
  <c r="R130" i="1"/>
  <c r="R135" i="1"/>
  <c r="R141" i="1"/>
  <c r="R146" i="1"/>
  <c r="R151" i="1"/>
  <c r="R157" i="1"/>
  <c r="R162" i="1"/>
  <c r="R167" i="1"/>
  <c r="R173" i="1"/>
  <c r="R178" i="1"/>
  <c r="R183" i="1"/>
  <c r="R189" i="1"/>
  <c r="R194" i="1"/>
  <c r="R199" i="1"/>
  <c r="R205" i="1"/>
  <c r="R210" i="1"/>
  <c r="R215" i="1"/>
  <c r="R221" i="1"/>
  <c r="R226" i="1"/>
  <c r="R231" i="1"/>
  <c r="R237" i="1"/>
  <c r="R242" i="1"/>
  <c r="R247" i="1"/>
  <c r="R253" i="1"/>
  <c r="R258" i="1"/>
  <c r="R263" i="1"/>
  <c r="R269" i="1"/>
  <c r="R274" i="1"/>
  <c r="R279" i="1"/>
  <c r="R285" i="1"/>
  <c r="R290" i="1"/>
  <c r="R295" i="1"/>
  <c r="R301" i="1"/>
  <c r="R306" i="1"/>
  <c r="R311" i="1"/>
  <c r="R317" i="1"/>
  <c r="R322" i="1"/>
  <c r="R327" i="1"/>
  <c r="R333" i="1"/>
  <c r="R338" i="1"/>
  <c r="R343" i="1"/>
  <c r="R348" i="1"/>
  <c r="R3" i="1"/>
  <c r="R9" i="1"/>
  <c r="R16" i="1"/>
  <c r="R24" i="1"/>
  <c r="R30" i="1"/>
  <c r="R35" i="1"/>
  <c r="R41" i="1"/>
  <c r="R46" i="1"/>
  <c r="R51" i="1"/>
  <c r="R57" i="1"/>
  <c r="R62" i="1"/>
  <c r="R67" i="1"/>
  <c r="R73" i="1"/>
  <c r="R78" i="1"/>
  <c r="R83" i="1"/>
  <c r="R89" i="1"/>
  <c r="R94" i="1"/>
  <c r="R99" i="1"/>
  <c r="R105" i="1"/>
  <c r="R110" i="1"/>
  <c r="R115" i="1"/>
  <c r="R121" i="1"/>
  <c r="R126" i="1"/>
  <c r="R131" i="1"/>
  <c r="R137" i="1"/>
  <c r="R142" i="1"/>
  <c r="R147" i="1"/>
  <c r="R153" i="1"/>
  <c r="R158" i="1"/>
  <c r="R163" i="1"/>
  <c r="R169" i="1"/>
  <c r="R174" i="1"/>
  <c r="R179" i="1"/>
  <c r="R185" i="1"/>
  <c r="R190" i="1"/>
  <c r="R195" i="1"/>
  <c r="R201" i="1"/>
  <c r="R206" i="1"/>
  <c r="R211" i="1"/>
  <c r="R217" i="1"/>
  <c r="R222" i="1"/>
  <c r="R227" i="1"/>
  <c r="R233" i="1"/>
  <c r="R238" i="1"/>
  <c r="R243" i="1"/>
  <c r="R249" i="1"/>
  <c r="R254" i="1"/>
  <c r="R259" i="1"/>
  <c r="R265" i="1"/>
  <c r="R270" i="1"/>
  <c r="R275" i="1"/>
  <c r="R281" i="1"/>
  <c r="R286" i="1"/>
  <c r="R291" i="1"/>
  <c r="R297" i="1"/>
  <c r="R302" i="1"/>
  <c r="R307" i="1"/>
  <c r="R313" i="1"/>
  <c r="R318" i="1"/>
  <c r="R323" i="1"/>
  <c r="R329" i="1"/>
  <c r="R334" i="1"/>
  <c r="R339" i="1"/>
  <c r="R345" i="1"/>
  <c r="R349" i="1"/>
  <c r="R353" i="1"/>
  <c r="R4" i="1"/>
  <c r="R11" i="1"/>
  <c r="R19" i="1"/>
  <c r="R25" i="1"/>
  <c r="R31" i="1"/>
  <c r="R37" i="1"/>
  <c r="R42" i="1"/>
  <c r="R47" i="1"/>
  <c r="R53" i="1"/>
  <c r="R58" i="1"/>
  <c r="R63" i="1"/>
  <c r="R69" i="1"/>
  <c r="R74" i="1"/>
  <c r="R79" i="1"/>
  <c r="R85" i="1"/>
  <c r="R90" i="1"/>
  <c r="R95" i="1"/>
  <c r="R101" i="1"/>
  <c r="R106" i="1"/>
  <c r="R111" i="1"/>
  <c r="R117" i="1"/>
  <c r="R122" i="1"/>
  <c r="R127" i="1"/>
  <c r="R133" i="1"/>
  <c r="R138" i="1"/>
  <c r="R143" i="1"/>
  <c r="R149" i="1"/>
  <c r="R154" i="1"/>
  <c r="R159" i="1"/>
  <c r="R165" i="1"/>
  <c r="R170" i="1"/>
  <c r="R175" i="1"/>
  <c r="R181" i="1"/>
  <c r="R186" i="1"/>
  <c r="R191" i="1"/>
  <c r="R197" i="1"/>
  <c r="R202" i="1"/>
  <c r="R207" i="1"/>
  <c r="R213" i="1"/>
  <c r="R218" i="1"/>
  <c r="R223" i="1"/>
  <c r="R229" i="1"/>
  <c r="R234" i="1"/>
  <c r="R239" i="1"/>
  <c r="R245" i="1"/>
  <c r="R250" i="1"/>
  <c r="R255" i="1"/>
  <c r="R261" i="1"/>
  <c r="R266" i="1"/>
  <c r="R271" i="1"/>
  <c r="R277" i="1"/>
  <c r="R282" i="1"/>
  <c r="R287" i="1"/>
  <c r="R293" i="1"/>
  <c r="R298" i="1"/>
  <c r="R303" i="1"/>
  <c r="R309" i="1"/>
  <c r="R314" i="1"/>
  <c r="R319" i="1"/>
  <c r="R325" i="1"/>
  <c r="R330" i="1"/>
  <c r="R335" i="1"/>
  <c r="R341" i="1"/>
  <c r="R346" i="1"/>
  <c r="R350" i="1"/>
  <c r="R354" i="1"/>
  <c r="R358" i="1"/>
  <c r="R362" i="1"/>
  <c r="R366" i="1"/>
  <c r="R370" i="1"/>
  <c r="R374" i="1"/>
  <c r="R378" i="1"/>
  <c r="R382" i="1"/>
  <c r="R386" i="1"/>
  <c r="R390" i="1"/>
  <c r="R394" i="1"/>
  <c r="R398" i="1"/>
  <c r="R402" i="1"/>
  <c r="R406" i="1"/>
  <c r="R410" i="1"/>
  <c r="R414" i="1"/>
  <c r="R418" i="1"/>
  <c r="R422" i="1"/>
  <c r="R426" i="1"/>
  <c r="R430" i="1"/>
  <c r="R5" i="1"/>
  <c r="R13" i="1"/>
  <c r="R20" i="1"/>
  <c r="R27" i="1"/>
  <c r="R33" i="1"/>
  <c r="R38" i="1"/>
  <c r="R43" i="1"/>
  <c r="R49" i="1"/>
  <c r="R54" i="1"/>
  <c r="R59" i="1"/>
  <c r="R65" i="1"/>
  <c r="R70" i="1"/>
  <c r="R75" i="1"/>
  <c r="R81" i="1"/>
  <c r="R86" i="1"/>
  <c r="R91" i="1"/>
  <c r="R97" i="1"/>
  <c r="R102" i="1"/>
  <c r="R107" i="1"/>
  <c r="R113" i="1"/>
  <c r="R123" i="1"/>
  <c r="R145" i="1"/>
  <c r="R166" i="1"/>
  <c r="R187" i="1"/>
  <c r="R209" i="1"/>
  <c r="R230" i="1"/>
  <c r="R251" i="1"/>
  <c r="R273" i="1"/>
  <c r="R294" i="1"/>
  <c r="R315" i="1"/>
  <c r="R337" i="1"/>
  <c r="R352" i="1"/>
  <c r="R359" i="1"/>
  <c r="R364" i="1"/>
  <c r="R369" i="1"/>
  <c r="R375" i="1"/>
  <c r="R380" i="1"/>
  <c r="R385" i="1"/>
  <c r="R391" i="1"/>
  <c r="R396" i="1"/>
  <c r="R401" i="1"/>
  <c r="R407" i="1"/>
  <c r="R412" i="1"/>
  <c r="R417" i="1"/>
  <c r="R423" i="1"/>
  <c r="R428" i="1"/>
  <c r="R433" i="1"/>
  <c r="R437" i="1"/>
  <c r="R441" i="1"/>
  <c r="R445" i="1"/>
  <c r="R449" i="1"/>
  <c r="R453" i="1"/>
  <c r="R457" i="1"/>
  <c r="R461" i="1"/>
  <c r="R465" i="1"/>
  <c r="R469" i="1"/>
  <c r="R473" i="1"/>
  <c r="R477" i="1"/>
  <c r="R481" i="1"/>
  <c r="R485" i="1"/>
  <c r="R489" i="1"/>
  <c r="R493" i="1"/>
  <c r="R497" i="1"/>
  <c r="R501" i="1"/>
  <c r="R505" i="1"/>
  <c r="R129" i="1"/>
  <c r="R150" i="1"/>
  <c r="R171" i="1"/>
  <c r="R193" i="1"/>
  <c r="R214" i="1"/>
  <c r="R235" i="1"/>
  <c r="R257" i="1"/>
  <c r="R278" i="1"/>
  <c r="R299" i="1"/>
  <c r="R321" i="1"/>
  <c r="R342" i="1"/>
  <c r="R355" i="1"/>
  <c r="R360" i="1"/>
  <c r="R365" i="1"/>
  <c r="R371" i="1"/>
  <c r="R376" i="1"/>
  <c r="R381" i="1"/>
  <c r="R387" i="1"/>
  <c r="R392" i="1"/>
  <c r="R397" i="1"/>
  <c r="R403" i="1"/>
  <c r="R408" i="1"/>
  <c r="R413" i="1"/>
  <c r="R419" i="1"/>
  <c r="R424" i="1"/>
  <c r="R429" i="1"/>
  <c r="R434" i="1"/>
  <c r="R438" i="1"/>
  <c r="R442" i="1"/>
  <c r="R446" i="1"/>
  <c r="R450" i="1"/>
  <c r="R454" i="1"/>
  <c r="R458" i="1"/>
  <c r="R462" i="1"/>
  <c r="R466" i="1"/>
  <c r="R470" i="1"/>
  <c r="R474" i="1"/>
  <c r="R478" i="1"/>
  <c r="R482" i="1"/>
  <c r="R486" i="1"/>
  <c r="R490" i="1"/>
  <c r="R494" i="1"/>
  <c r="R498" i="1"/>
  <c r="R502" i="1"/>
  <c r="R506" i="1"/>
  <c r="R134" i="1"/>
  <c r="R155" i="1"/>
  <c r="R177" i="1"/>
  <c r="R198" i="1"/>
  <c r="R219" i="1"/>
  <c r="R241" i="1"/>
  <c r="R262" i="1"/>
  <c r="R283" i="1"/>
  <c r="R305" i="1"/>
  <c r="R326" i="1"/>
  <c r="R347" i="1"/>
  <c r="R356" i="1"/>
  <c r="R361" i="1"/>
  <c r="R367" i="1"/>
  <c r="R372" i="1"/>
  <c r="R377" i="1"/>
  <c r="R383" i="1"/>
  <c r="R388" i="1"/>
  <c r="R393" i="1"/>
  <c r="R399" i="1"/>
  <c r="R404" i="1"/>
  <c r="R409" i="1"/>
  <c r="R415" i="1"/>
  <c r="R420" i="1"/>
  <c r="R425" i="1"/>
  <c r="R431" i="1"/>
  <c r="R435" i="1"/>
  <c r="R439" i="1"/>
  <c r="R443" i="1"/>
  <c r="R447" i="1"/>
  <c r="R451" i="1"/>
  <c r="R455" i="1"/>
  <c r="R459" i="1"/>
  <c r="R463" i="1"/>
  <c r="R467" i="1"/>
  <c r="R471" i="1"/>
  <c r="R475" i="1"/>
  <c r="R479" i="1"/>
  <c r="R483" i="1"/>
  <c r="R487" i="1"/>
  <c r="R491" i="1"/>
  <c r="R495" i="1"/>
  <c r="R499" i="1"/>
  <c r="R503" i="1"/>
  <c r="R507" i="1"/>
  <c r="R511" i="1"/>
  <c r="R515" i="1"/>
  <c r="R519" i="1"/>
  <c r="R523" i="1"/>
  <c r="R527" i="1"/>
  <c r="R531" i="1"/>
  <c r="R535" i="1"/>
  <c r="R539" i="1"/>
  <c r="R543" i="1"/>
  <c r="R547" i="1"/>
  <c r="R551" i="1"/>
  <c r="R555" i="1"/>
  <c r="R559" i="1"/>
  <c r="R563" i="1"/>
  <c r="R567" i="1"/>
  <c r="R571" i="1"/>
  <c r="R575" i="1"/>
  <c r="R579" i="1"/>
  <c r="R583" i="1"/>
  <c r="R587" i="1"/>
  <c r="R591" i="1"/>
  <c r="R595" i="1"/>
  <c r="R599" i="1"/>
  <c r="R603" i="1"/>
  <c r="R607" i="1"/>
  <c r="R611" i="1"/>
  <c r="R615" i="1"/>
  <c r="R619" i="1"/>
  <c r="R623" i="1"/>
  <c r="R627" i="1"/>
  <c r="R631" i="1"/>
  <c r="R635" i="1"/>
  <c r="R639" i="1"/>
  <c r="R643" i="1"/>
  <c r="R647" i="1"/>
  <c r="R651" i="1"/>
  <c r="R655" i="1"/>
  <c r="R659" i="1"/>
  <c r="R663" i="1"/>
  <c r="R118" i="1"/>
  <c r="R139" i="1"/>
  <c r="R161" i="1"/>
  <c r="R182" i="1"/>
  <c r="R203" i="1"/>
  <c r="R225" i="1"/>
  <c r="R246" i="1"/>
  <c r="R267" i="1"/>
  <c r="R289" i="1"/>
  <c r="R310" i="1"/>
  <c r="R331" i="1"/>
  <c r="R351" i="1"/>
  <c r="R357" i="1"/>
  <c r="R363" i="1"/>
  <c r="R368" i="1"/>
  <c r="R373" i="1"/>
  <c r="R379" i="1"/>
  <c r="R384" i="1"/>
  <c r="R389" i="1"/>
  <c r="R395" i="1"/>
  <c r="R400" i="1"/>
  <c r="R405" i="1"/>
  <c r="R411" i="1"/>
  <c r="R416" i="1"/>
  <c r="R421" i="1"/>
  <c r="R427" i="1"/>
  <c r="R432" i="1"/>
  <c r="R436" i="1"/>
  <c r="R440" i="1"/>
  <c r="R444" i="1"/>
  <c r="R448" i="1"/>
  <c r="R452" i="1"/>
  <c r="R456" i="1"/>
  <c r="R460" i="1"/>
  <c r="R464" i="1"/>
  <c r="R468" i="1"/>
  <c r="R472" i="1"/>
  <c r="R476" i="1"/>
  <c r="R480" i="1"/>
  <c r="R484" i="1"/>
  <c r="R488" i="1"/>
  <c r="R492" i="1"/>
  <c r="R496" i="1"/>
  <c r="R500" i="1"/>
  <c r="R504" i="1"/>
  <c r="R508" i="1"/>
  <c r="R512" i="1"/>
  <c r="R516" i="1"/>
  <c r="R520" i="1"/>
  <c r="R524" i="1"/>
  <c r="R528" i="1"/>
  <c r="R532" i="1"/>
  <c r="R536" i="1"/>
  <c r="R540" i="1"/>
  <c r="R544" i="1"/>
  <c r="R548" i="1"/>
  <c r="R552" i="1"/>
  <c r="R556" i="1"/>
  <c r="R560" i="1"/>
  <c r="R564" i="1"/>
  <c r="R568" i="1"/>
  <c r="R572" i="1"/>
  <c r="R576" i="1"/>
  <c r="R580" i="1"/>
  <c r="R584" i="1"/>
  <c r="R588" i="1"/>
  <c r="R592" i="1"/>
  <c r="R596" i="1"/>
  <c r="R600" i="1"/>
  <c r="R604" i="1"/>
  <c r="R608" i="1"/>
  <c r="R612" i="1"/>
  <c r="R616" i="1"/>
  <c r="R620" i="1"/>
  <c r="R624" i="1"/>
  <c r="R628" i="1"/>
  <c r="R632" i="1"/>
  <c r="R636" i="1"/>
  <c r="R640" i="1"/>
  <c r="R644" i="1"/>
  <c r="R648" i="1"/>
  <c r="R652" i="1"/>
  <c r="R656" i="1"/>
  <c r="R660" i="1"/>
  <c r="R664" i="1"/>
  <c r="R510" i="1"/>
  <c r="R518" i="1"/>
  <c r="R526" i="1"/>
  <c r="R534" i="1"/>
  <c r="R542" i="1"/>
  <c r="R550" i="1"/>
  <c r="R558" i="1"/>
  <c r="R566" i="1"/>
  <c r="R574" i="1"/>
  <c r="R582" i="1"/>
  <c r="R590" i="1"/>
  <c r="R598" i="1"/>
  <c r="R606" i="1"/>
  <c r="R614" i="1"/>
  <c r="R622" i="1"/>
  <c r="R630" i="1"/>
  <c r="R638" i="1"/>
  <c r="R646" i="1"/>
  <c r="R654" i="1"/>
  <c r="R662" i="1"/>
  <c r="R668" i="1"/>
  <c r="R672" i="1"/>
  <c r="R676" i="1"/>
  <c r="R680" i="1"/>
  <c r="R684" i="1"/>
  <c r="R688" i="1"/>
  <c r="R692" i="1"/>
  <c r="R696" i="1"/>
  <c r="R700" i="1"/>
  <c r="R704" i="1"/>
  <c r="R708" i="1"/>
  <c r="R712" i="1"/>
  <c r="R716" i="1"/>
  <c r="R720" i="1"/>
  <c r="R724" i="1"/>
  <c r="R728" i="1"/>
  <c r="R732" i="1"/>
  <c r="R736" i="1"/>
  <c r="R740" i="1"/>
  <c r="R744" i="1"/>
  <c r="R748" i="1"/>
  <c r="R752" i="1"/>
  <c r="R756" i="1"/>
  <c r="R760" i="1"/>
  <c r="R764" i="1"/>
  <c r="R768" i="1"/>
  <c r="R772" i="1"/>
  <c r="R776" i="1"/>
  <c r="R780" i="1"/>
  <c r="R784" i="1"/>
  <c r="R788" i="1"/>
  <c r="R792" i="1"/>
  <c r="R796" i="1"/>
  <c r="R800" i="1"/>
  <c r="R804" i="1"/>
  <c r="R808" i="1"/>
  <c r="R812" i="1"/>
  <c r="R816" i="1"/>
  <c r="R820" i="1"/>
  <c r="R824" i="1"/>
  <c r="R828" i="1"/>
  <c r="R832" i="1"/>
  <c r="R836" i="1"/>
  <c r="R840" i="1"/>
  <c r="R844" i="1"/>
  <c r="R848" i="1"/>
  <c r="R852" i="1"/>
  <c r="R856" i="1"/>
  <c r="R860" i="1"/>
  <c r="R864" i="1"/>
  <c r="R868" i="1"/>
  <c r="R872" i="1"/>
  <c r="R876" i="1"/>
  <c r="R880" i="1"/>
  <c r="R884" i="1"/>
  <c r="R888" i="1"/>
  <c r="R892" i="1"/>
  <c r="R896" i="1"/>
  <c r="R900" i="1"/>
  <c r="R904" i="1"/>
  <c r="R908" i="1"/>
  <c r="R912" i="1"/>
  <c r="R916" i="1"/>
  <c r="R920" i="1"/>
  <c r="R924" i="1"/>
  <c r="R513" i="1"/>
  <c r="R521" i="1"/>
  <c r="R529" i="1"/>
  <c r="R537" i="1"/>
  <c r="R545" i="1"/>
  <c r="R553" i="1"/>
  <c r="R561" i="1"/>
  <c r="R569" i="1"/>
  <c r="R577" i="1"/>
  <c r="R585" i="1"/>
  <c r="R593" i="1"/>
  <c r="R601" i="1"/>
  <c r="R609" i="1"/>
  <c r="R617" i="1"/>
  <c r="R625" i="1"/>
  <c r="R633" i="1"/>
  <c r="R641" i="1"/>
  <c r="R649" i="1"/>
  <c r="R657" i="1"/>
  <c r="R665" i="1"/>
  <c r="R669" i="1"/>
  <c r="R673" i="1"/>
  <c r="R677" i="1"/>
  <c r="R681" i="1"/>
  <c r="R685" i="1"/>
  <c r="R689" i="1"/>
  <c r="R693" i="1"/>
  <c r="R697" i="1"/>
  <c r="R701" i="1"/>
  <c r="R705" i="1"/>
  <c r="R709" i="1"/>
  <c r="R713" i="1"/>
  <c r="R717" i="1"/>
  <c r="R721" i="1"/>
  <c r="R725" i="1"/>
  <c r="R729" i="1"/>
  <c r="R733" i="1"/>
  <c r="R737" i="1"/>
  <c r="R741" i="1"/>
  <c r="R745" i="1"/>
  <c r="R749" i="1"/>
  <c r="R753" i="1"/>
  <c r="R757" i="1"/>
  <c r="R761" i="1"/>
  <c r="R765" i="1"/>
  <c r="R769" i="1"/>
  <c r="R773" i="1"/>
  <c r="R777" i="1"/>
  <c r="R781" i="1"/>
  <c r="R785" i="1"/>
  <c r="R789" i="1"/>
  <c r="R793" i="1"/>
  <c r="R797" i="1"/>
  <c r="R801" i="1"/>
  <c r="R805" i="1"/>
  <c r="R809" i="1"/>
  <c r="R813" i="1"/>
  <c r="R817" i="1"/>
  <c r="R821" i="1"/>
  <c r="R825" i="1"/>
  <c r="R829" i="1"/>
  <c r="R833" i="1"/>
  <c r="R837" i="1"/>
  <c r="R841" i="1"/>
  <c r="R845" i="1"/>
  <c r="R849" i="1"/>
  <c r="R853" i="1"/>
  <c r="R857" i="1"/>
  <c r="R861" i="1"/>
  <c r="R865" i="1"/>
  <c r="R869" i="1"/>
  <c r="R873" i="1"/>
  <c r="R877" i="1"/>
  <c r="R881" i="1"/>
  <c r="R885" i="1"/>
  <c r="R889" i="1"/>
  <c r="R893" i="1"/>
  <c r="R897" i="1"/>
  <c r="R901" i="1"/>
  <c r="R905" i="1"/>
  <c r="R909" i="1"/>
  <c r="R913" i="1"/>
  <c r="R917" i="1"/>
  <c r="R921" i="1"/>
  <c r="R925" i="1"/>
  <c r="R514" i="1"/>
  <c r="R522" i="1"/>
  <c r="R530" i="1"/>
  <c r="R538" i="1"/>
  <c r="R546" i="1"/>
  <c r="R554" i="1"/>
  <c r="R562" i="1"/>
  <c r="R570" i="1"/>
  <c r="R578" i="1"/>
  <c r="R586" i="1"/>
  <c r="R594" i="1"/>
  <c r="R602" i="1"/>
  <c r="R610" i="1"/>
  <c r="R618" i="1"/>
  <c r="R626" i="1"/>
  <c r="R634" i="1"/>
  <c r="R642" i="1"/>
  <c r="R650" i="1"/>
  <c r="R658" i="1"/>
  <c r="R666" i="1"/>
  <c r="R670" i="1"/>
  <c r="R674" i="1"/>
  <c r="R678" i="1"/>
  <c r="R682" i="1"/>
  <c r="R686" i="1"/>
  <c r="R690" i="1"/>
  <c r="R694" i="1"/>
  <c r="R698" i="1"/>
  <c r="R702" i="1"/>
  <c r="R706" i="1"/>
  <c r="R710" i="1"/>
  <c r="R714" i="1"/>
  <c r="R718" i="1"/>
  <c r="R722" i="1"/>
  <c r="R726" i="1"/>
  <c r="R730" i="1"/>
  <c r="R734" i="1"/>
  <c r="R738" i="1"/>
  <c r="R742" i="1"/>
  <c r="R746" i="1"/>
  <c r="R750" i="1"/>
  <c r="R754" i="1"/>
  <c r="R758" i="1"/>
  <c r="R762" i="1"/>
  <c r="R766" i="1"/>
  <c r="R770" i="1"/>
  <c r="R774" i="1"/>
  <c r="R778" i="1"/>
  <c r="R782" i="1"/>
  <c r="R786" i="1"/>
  <c r="R790" i="1"/>
  <c r="R794" i="1"/>
  <c r="R798" i="1"/>
  <c r="R802" i="1"/>
  <c r="R806" i="1"/>
  <c r="R810" i="1"/>
  <c r="R814" i="1"/>
  <c r="R818" i="1"/>
  <c r="R822" i="1"/>
  <c r="R826" i="1"/>
  <c r="R830" i="1"/>
  <c r="R834" i="1"/>
  <c r="R838" i="1"/>
  <c r="R842" i="1"/>
  <c r="R846" i="1"/>
  <c r="R850" i="1"/>
  <c r="R854" i="1"/>
  <c r="R858" i="1"/>
  <c r="R862" i="1"/>
  <c r="R866" i="1"/>
  <c r="R870" i="1"/>
  <c r="R874" i="1"/>
  <c r="R878" i="1"/>
  <c r="R882" i="1"/>
  <c r="R886" i="1"/>
  <c r="R890" i="1"/>
  <c r="R894" i="1"/>
  <c r="R898" i="1"/>
  <c r="R902" i="1"/>
  <c r="R906" i="1"/>
  <c r="R910" i="1"/>
  <c r="R914" i="1"/>
  <c r="R918" i="1"/>
  <c r="R922" i="1"/>
  <c r="R926" i="1"/>
  <c r="R930" i="1"/>
  <c r="R934" i="1"/>
  <c r="R938" i="1"/>
  <c r="R942" i="1"/>
  <c r="R946" i="1"/>
  <c r="R950" i="1"/>
  <c r="R954" i="1"/>
  <c r="R958" i="1"/>
  <c r="R962" i="1"/>
  <c r="R966" i="1"/>
  <c r="R970" i="1"/>
  <c r="R974" i="1"/>
  <c r="R978" i="1"/>
  <c r="R982" i="1"/>
  <c r="R986" i="1"/>
  <c r="R990" i="1"/>
  <c r="R994" i="1"/>
  <c r="R998" i="1"/>
  <c r="R1002" i="1"/>
  <c r="R1006" i="1"/>
  <c r="R1010" i="1"/>
  <c r="R1014" i="1"/>
  <c r="R1018" i="1"/>
  <c r="R1022" i="1"/>
  <c r="R1026" i="1"/>
  <c r="R1030" i="1"/>
  <c r="R1034" i="1"/>
  <c r="R1038" i="1"/>
  <c r="R1042" i="1"/>
  <c r="R1046" i="1"/>
  <c r="R1050" i="1"/>
  <c r="R1054" i="1"/>
  <c r="R1058" i="1"/>
  <c r="R1062" i="1"/>
  <c r="R1066" i="1"/>
  <c r="R1070" i="1"/>
  <c r="R509" i="1"/>
  <c r="R517" i="1"/>
  <c r="R525" i="1"/>
  <c r="R533" i="1"/>
  <c r="R541" i="1"/>
  <c r="R549" i="1"/>
  <c r="R557" i="1"/>
  <c r="R565" i="1"/>
  <c r="R573" i="1"/>
  <c r="R581" i="1"/>
  <c r="R589" i="1"/>
  <c r="R597" i="1"/>
  <c r="R605" i="1"/>
  <c r="R613" i="1"/>
  <c r="R621" i="1"/>
  <c r="R629" i="1"/>
  <c r="R637" i="1"/>
  <c r="R645" i="1"/>
  <c r="R653" i="1"/>
  <c r="R661" i="1"/>
  <c r="R667" i="1"/>
  <c r="R671" i="1"/>
  <c r="R675" i="1"/>
  <c r="R679" i="1"/>
  <c r="R683" i="1"/>
  <c r="R687" i="1"/>
  <c r="R691" i="1"/>
  <c r="R695" i="1"/>
  <c r="R699" i="1"/>
  <c r="R703" i="1"/>
  <c r="R707" i="1"/>
  <c r="R711" i="1"/>
  <c r="R715" i="1"/>
  <c r="R719" i="1"/>
  <c r="R723" i="1"/>
  <c r="R727" i="1"/>
  <c r="R731" i="1"/>
  <c r="R735" i="1"/>
  <c r="R739" i="1"/>
  <c r="R743" i="1"/>
  <c r="R747" i="1"/>
  <c r="R751" i="1"/>
  <c r="R755" i="1"/>
  <c r="R759" i="1"/>
  <c r="R763" i="1"/>
  <c r="R767" i="1"/>
  <c r="R771" i="1"/>
  <c r="R775" i="1"/>
  <c r="R779" i="1"/>
  <c r="R783" i="1"/>
  <c r="R787" i="1"/>
  <c r="R791" i="1"/>
  <c r="R795" i="1"/>
  <c r="R799" i="1"/>
  <c r="R803" i="1"/>
  <c r="R807" i="1"/>
  <c r="R811" i="1"/>
  <c r="R815" i="1"/>
  <c r="R819" i="1"/>
  <c r="R823" i="1"/>
  <c r="R827" i="1"/>
  <c r="R831" i="1"/>
  <c r="R835" i="1"/>
  <c r="R839" i="1"/>
  <c r="R843" i="1"/>
  <c r="R847" i="1"/>
  <c r="R851" i="1"/>
  <c r="R855" i="1"/>
  <c r="R859" i="1"/>
  <c r="R863" i="1"/>
  <c r="R867" i="1"/>
  <c r="R871" i="1"/>
  <c r="R875" i="1"/>
  <c r="R879" i="1"/>
  <c r="R883" i="1"/>
  <c r="R887" i="1"/>
  <c r="R891" i="1"/>
  <c r="R895" i="1"/>
  <c r="R899" i="1"/>
  <c r="R903" i="1"/>
  <c r="R907" i="1"/>
  <c r="R911" i="1"/>
  <c r="R915" i="1"/>
  <c r="R919" i="1"/>
  <c r="R923" i="1"/>
  <c r="R927" i="1"/>
  <c r="R931" i="1"/>
  <c r="R935" i="1"/>
  <c r="R939" i="1"/>
  <c r="R943" i="1"/>
  <c r="R947" i="1"/>
  <c r="R951" i="1"/>
  <c r="R955" i="1"/>
  <c r="R959" i="1"/>
  <c r="R963" i="1"/>
  <c r="R967" i="1"/>
  <c r="R971" i="1"/>
  <c r="R975" i="1"/>
  <c r="R979" i="1"/>
  <c r="R983" i="1"/>
  <c r="R987" i="1"/>
  <c r="R991" i="1"/>
  <c r="R995" i="1"/>
  <c r="R999" i="1"/>
  <c r="R1003" i="1"/>
  <c r="R1007" i="1"/>
  <c r="R1011" i="1"/>
  <c r="R1015" i="1"/>
  <c r="R1019" i="1"/>
  <c r="R1023" i="1"/>
  <c r="R1027" i="1"/>
  <c r="R1031" i="1"/>
  <c r="R1035" i="1"/>
  <c r="R1039" i="1"/>
  <c r="R1043" i="1"/>
  <c r="R1047" i="1"/>
  <c r="R1051" i="1"/>
  <c r="R1055" i="1"/>
  <c r="R1059" i="1"/>
  <c r="R1063" i="1"/>
  <c r="R1067" i="1"/>
  <c r="R1071" i="1"/>
  <c r="R929" i="1"/>
  <c r="R937" i="1"/>
  <c r="R945" i="1"/>
  <c r="R953" i="1"/>
  <c r="R961" i="1"/>
  <c r="R969" i="1"/>
  <c r="R977" i="1"/>
  <c r="R985" i="1"/>
  <c r="R993" i="1"/>
  <c r="R1001" i="1"/>
  <c r="R1009" i="1"/>
  <c r="R1017" i="1"/>
  <c r="R1025" i="1"/>
  <c r="R1041" i="1"/>
  <c r="R1049" i="1"/>
  <c r="R1057" i="1"/>
  <c r="R1073" i="1"/>
  <c r="R1089" i="1"/>
  <c r="R1101" i="1"/>
  <c r="R1113" i="1"/>
  <c r="R1125" i="1"/>
  <c r="R1137" i="1"/>
  <c r="R1153" i="1"/>
  <c r="R1169" i="1"/>
  <c r="R1181" i="1"/>
  <c r="R1130" i="1"/>
  <c r="R1150" i="1"/>
  <c r="R1166" i="1"/>
  <c r="R1182" i="1"/>
  <c r="R1198" i="1"/>
  <c r="R932" i="1"/>
  <c r="R940" i="1"/>
  <c r="R948" i="1"/>
  <c r="R956" i="1"/>
  <c r="R964" i="1"/>
  <c r="R972" i="1"/>
  <c r="R980" i="1"/>
  <c r="R988" i="1"/>
  <c r="R996" i="1"/>
  <c r="R1004" i="1"/>
  <c r="R1012" i="1"/>
  <c r="R1020" i="1"/>
  <c r="R1028" i="1"/>
  <c r="R1036" i="1"/>
  <c r="R1044" i="1"/>
  <c r="R1052" i="1"/>
  <c r="R1060" i="1"/>
  <c r="R1068" i="1"/>
  <c r="R1074" i="1"/>
  <c r="R1078" i="1"/>
  <c r="R1082" i="1"/>
  <c r="R1086" i="1"/>
  <c r="R1090" i="1"/>
  <c r="R1094" i="1"/>
  <c r="R1098" i="1"/>
  <c r="R1102" i="1"/>
  <c r="R1106" i="1"/>
  <c r="R1110" i="1"/>
  <c r="R1114" i="1"/>
  <c r="R1118" i="1"/>
  <c r="R1122" i="1"/>
  <c r="R1126" i="1"/>
  <c r="R1142" i="1"/>
  <c r="R1154" i="1"/>
  <c r="R1170" i="1"/>
  <c r="R1186" i="1"/>
  <c r="R933" i="1"/>
  <c r="R941" i="1"/>
  <c r="R949" i="1"/>
  <c r="R957" i="1"/>
  <c r="R965" i="1"/>
  <c r="R973" i="1"/>
  <c r="R981" i="1"/>
  <c r="R989" i="1"/>
  <c r="R997" i="1"/>
  <c r="R1005" i="1"/>
  <c r="R1013" i="1"/>
  <c r="R1021" i="1"/>
  <c r="R1029" i="1"/>
  <c r="R1037" i="1"/>
  <c r="R1045" i="1"/>
  <c r="R1053" i="1"/>
  <c r="R1061" i="1"/>
  <c r="R1069" i="1"/>
  <c r="R1075" i="1"/>
  <c r="R1079" i="1"/>
  <c r="R1083" i="1"/>
  <c r="R1087" i="1"/>
  <c r="R1091" i="1"/>
  <c r="R1095" i="1"/>
  <c r="R1099" i="1"/>
  <c r="R1103" i="1"/>
  <c r="R1107" i="1"/>
  <c r="R1111" i="1"/>
  <c r="R1115" i="1"/>
  <c r="R1119" i="1"/>
  <c r="R1123" i="1"/>
  <c r="R1127" i="1"/>
  <c r="R1131" i="1"/>
  <c r="R1135" i="1"/>
  <c r="R1139" i="1"/>
  <c r="R1143" i="1"/>
  <c r="R1147" i="1"/>
  <c r="R1151" i="1"/>
  <c r="R1155" i="1"/>
  <c r="R1159" i="1"/>
  <c r="R1163" i="1"/>
  <c r="R1167" i="1"/>
  <c r="R1171" i="1"/>
  <c r="R1175" i="1"/>
  <c r="R1179" i="1"/>
  <c r="R1183" i="1"/>
  <c r="R1187" i="1"/>
  <c r="R1191" i="1"/>
  <c r="R1195" i="1"/>
  <c r="R2" i="1"/>
  <c r="R1081" i="1"/>
  <c r="R1093" i="1"/>
  <c r="R1109" i="1"/>
  <c r="R1121" i="1"/>
  <c r="R1133" i="1"/>
  <c r="R1141" i="1"/>
  <c r="R1157" i="1"/>
  <c r="R1165" i="1"/>
  <c r="R1173" i="1"/>
  <c r="R1185" i="1"/>
  <c r="R1193" i="1"/>
  <c r="R1134" i="1"/>
  <c r="R1146" i="1"/>
  <c r="R1162" i="1"/>
  <c r="R1178" i="1"/>
  <c r="R1194" i="1"/>
  <c r="R928" i="1"/>
  <c r="R936" i="1"/>
  <c r="R944" i="1"/>
  <c r="R952" i="1"/>
  <c r="R960" i="1"/>
  <c r="R968" i="1"/>
  <c r="R976" i="1"/>
  <c r="R984" i="1"/>
  <c r="R992" i="1"/>
  <c r="R1000" i="1"/>
  <c r="R1008" i="1"/>
  <c r="R1016" i="1"/>
  <c r="R1024" i="1"/>
  <c r="R1032" i="1"/>
  <c r="R1040" i="1"/>
  <c r="R1048" i="1"/>
  <c r="R1056" i="1"/>
  <c r="R1064" i="1"/>
  <c r="R1072" i="1"/>
  <c r="R1076" i="1"/>
  <c r="R1080" i="1"/>
  <c r="R1084" i="1"/>
  <c r="R1088" i="1"/>
  <c r="R1092" i="1"/>
  <c r="R1096" i="1"/>
  <c r="R1100" i="1"/>
  <c r="R1104" i="1"/>
  <c r="R1108" i="1"/>
  <c r="R1112" i="1"/>
  <c r="R1116" i="1"/>
  <c r="R1120" i="1"/>
  <c r="R1124" i="1"/>
  <c r="R1128" i="1"/>
  <c r="R1132" i="1"/>
  <c r="R1136" i="1"/>
  <c r="R1140" i="1"/>
  <c r="R1144" i="1"/>
  <c r="R1148" i="1"/>
  <c r="R1152" i="1"/>
  <c r="R1156" i="1"/>
  <c r="R1160" i="1"/>
  <c r="R1164" i="1"/>
  <c r="R1168" i="1"/>
  <c r="R1172" i="1"/>
  <c r="R1176" i="1"/>
  <c r="R1180" i="1"/>
  <c r="R1184" i="1"/>
  <c r="R1188" i="1"/>
  <c r="R1192" i="1"/>
  <c r="R1196" i="1"/>
  <c r="R1033" i="1"/>
  <c r="R1065" i="1"/>
  <c r="R1077" i="1"/>
  <c r="R1085" i="1"/>
  <c r="R1097" i="1"/>
  <c r="R1105" i="1"/>
  <c r="R1117" i="1"/>
  <c r="R1129" i="1"/>
  <c r="R1145" i="1"/>
  <c r="R1149" i="1"/>
  <c r="R1161" i="1"/>
  <c r="R1177" i="1"/>
  <c r="R1189" i="1"/>
  <c r="R1197" i="1"/>
  <c r="R1138" i="1"/>
  <c r="R1158" i="1"/>
  <c r="R1174" i="1"/>
  <c r="R1190" i="1"/>
  <c r="S4" i="1" l="1"/>
</calcChain>
</file>

<file path=xl/sharedStrings.xml><?xml version="1.0" encoding="utf-8"?>
<sst xmlns="http://schemas.openxmlformats.org/spreadsheetml/2006/main" count="11783" uniqueCount="4318">
  <si>
    <t>OrderID</t>
  </si>
  <si>
    <t>Date</t>
  </si>
  <si>
    <t>Year</t>
  </si>
  <si>
    <t>Quarter</t>
  </si>
  <si>
    <t>CustomerID</t>
  </si>
  <si>
    <t>Product</t>
  </si>
  <si>
    <t>Quantity</t>
  </si>
  <si>
    <t>UnitPrice</t>
  </si>
  <si>
    <t>ShippingAddress</t>
  </si>
  <si>
    <t>PaymentMethod</t>
  </si>
  <si>
    <t>OrderStatus</t>
  </si>
  <si>
    <t>TrackingNumber</t>
  </si>
  <si>
    <t>ItemsInCart</t>
  </si>
  <si>
    <t>CouponCode</t>
  </si>
  <si>
    <t>ReferralSource</t>
  </si>
  <si>
    <t>TotalPrice</t>
  </si>
  <si>
    <t>TotalRevenue</t>
  </si>
  <si>
    <t>ORD200000</t>
  </si>
  <si>
    <t>Q1</t>
  </si>
  <si>
    <t>C72649</t>
  </si>
  <si>
    <t>Monitor</t>
  </si>
  <si>
    <t>928 Main St</t>
  </si>
  <si>
    <t>Debit Card</t>
  </si>
  <si>
    <t>Shipped</t>
  </si>
  <si>
    <t>TRK37947903</t>
  </si>
  <si>
    <t>SAVE10</t>
  </si>
  <si>
    <t>Instagram</t>
  </si>
  <si>
    <t>ORD200001</t>
  </si>
  <si>
    <t>Q3</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</si>
  <si>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</si>
  <si>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</si>
  <si>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</si>
  <si>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</si>
  <si>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</si>
  <si>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</si>
  <si>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</si>
  <si>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</si>
  <si>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</si>
  <si>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</si>
  <si>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</si>
  <si>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</si>
  <si>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</si>
  <si>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</si>
  <si>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</si>
  <si>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</si>
  <si>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Q4</t>
  </si>
  <si>
    <t>C33540</t>
  </si>
  <si>
    <t>Chair</t>
  </si>
  <si>
    <t>275 Main St</t>
  </si>
  <si>
    <t>Returned</t>
  </si>
  <si>
    <t>TRK62788070</t>
  </si>
  <si>
    <t>Facebook</t>
  </si>
  <si>
    <t>ORD200004</t>
  </si>
  <si>
    <t>Q2</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</si>
  <si>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</si>
  <si>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</si>
  <si>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</si>
  <si>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</si>
  <si>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</si>
  <si>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</si>
  <si>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</si>
  <si>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</si>
  <si>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</si>
  <si>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</si>
  <si>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</si>
  <si>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</si>
  <si>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</si>
  <si>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</si>
  <si>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</si>
  <si>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</si>
  <si>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</si>
  <si>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</si>
  <si>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</si>
  <si>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</si>
  <si>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</si>
  <si>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</si>
  <si>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</si>
  <si>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</si>
  <si>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</si>
  <si>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</si>
  <si>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</si>
  <si>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</si>
  <si>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</si>
  <si>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</si>
  <si>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</si>
  <si>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</si>
  <si>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</si>
  <si>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</si>
  <si>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</si>
  <si>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</si>
  <si>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</si>
  <si>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</si>
  <si>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</si>
  <si>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</si>
  <si>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</si>
  <si>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</si>
  <si>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</si>
  <si>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</si>
  <si>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</si>
  <si>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</si>
  <si>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</si>
  <si>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</si>
  <si>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</si>
  <si>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</si>
  <si>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</si>
  <si>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</si>
  <si>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</si>
  <si>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</si>
  <si>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</si>
  <si>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</si>
  <si>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</si>
  <si>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</si>
  <si>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</si>
  <si>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</si>
  <si>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</si>
  <si>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</si>
  <si>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</si>
  <si>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</si>
  <si>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</si>
  <si>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</si>
  <si>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</si>
  <si>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</si>
  <si>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</si>
  <si>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</si>
  <si>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</si>
  <si>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</si>
  <si>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</si>
  <si>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</si>
  <si>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</si>
  <si>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</si>
  <si>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</si>
  <si>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</si>
  <si>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</si>
  <si>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</si>
  <si>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</si>
  <si>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</si>
  <si>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</si>
  <si>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</si>
  <si>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</si>
  <si>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</si>
  <si>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</si>
  <si>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</si>
  <si>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</si>
  <si>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</si>
  <si>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</si>
  <si>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</si>
  <si>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</si>
  <si>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</si>
  <si>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</si>
  <si>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</si>
  <si>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</si>
  <si>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</si>
  <si>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</si>
  <si>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</si>
  <si>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</si>
  <si>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</si>
  <si>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</si>
  <si>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</si>
  <si>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</si>
  <si>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</si>
  <si>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</si>
  <si>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</si>
  <si>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</si>
  <si>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</si>
  <si>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</si>
  <si>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</si>
  <si>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</si>
  <si>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</si>
  <si>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</si>
  <si>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</si>
  <si>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</si>
  <si>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</si>
  <si>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</si>
  <si>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</si>
  <si>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</si>
  <si>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</si>
  <si>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</si>
  <si>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</si>
  <si>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</si>
  <si>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</si>
  <si>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</si>
  <si>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</si>
  <si>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</si>
  <si>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</si>
  <si>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</si>
  <si>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</si>
  <si>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</si>
  <si>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</si>
  <si>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</si>
  <si>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</si>
  <si>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</si>
  <si>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</si>
  <si>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</si>
  <si>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</si>
  <si>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</si>
  <si>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</si>
  <si>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</si>
  <si>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</si>
  <si>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</si>
  <si>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</si>
  <si>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</si>
  <si>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</si>
  <si>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</si>
  <si>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</si>
  <si>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</si>
  <si>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</si>
  <si>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</si>
  <si>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</si>
  <si>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</si>
  <si>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</si>
  <si>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</si>
  <si>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</si>
  <si>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</si>
  <si>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</si>
  <si>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</si>
  <si>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</si>
  <si>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</si>
  <si>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</si>
  <si>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</si>
  <si>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</si>
  <si>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</si>
  <si>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</si>
  <si>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</si>
  <si>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</si>
  <si>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</si>
  <si>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</si>
  <si>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</si>
  <si>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</si>
  <si>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</si>
  <si>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</si>
  <si>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</si>
  <si>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</si>
  <si>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</si>
  <si>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</si>
  <si>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</si>
  <si>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</si>
  <si>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</si>
  <si>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</si>
  <si>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</si>
  <si>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</si>
  <si>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</si>
  <si>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</si>
  <si>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</si>
  <si>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</si>
  <si>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</si>
  <si>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</si>
  <si>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</si>
  <si>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</si>
  <si>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</si>
  <si>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</si>
  <si>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</si>
  <si>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</si>
  <si>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</si>
  <si>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</si>
  <si>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</si>
  <si>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</si>
  <si>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</si>
  <si>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</si>
  <si>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</si>
  <si>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</si>
  <si>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</si>
  <si>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</si>
  <si>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</si>
  <si>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</si>
  <si>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</si>
  <si>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</si>
  <si>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</si>
  <si>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</si>
  <si>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</si>
  <si>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</si>
  <si>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</si>
  <si>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</si>
  <si>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</si>
  <si>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</si>
  <si>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</si>
  <si>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</si>
  <si>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</si>
  <si>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</si>
  <si>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</si>
  <si>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</si>
  <si>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</si>
  <si>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</si>
  <si>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</si>
  <si>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</si>
  <si>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</si>
  <si>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</si>
  <si>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</si>
  <si>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</si>
  <si>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</si>
  <si>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</si>
  <si>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</si>
  <si>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</si>
  <si>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</si>
  <si>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</si>
  <si>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</si>
  <si>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</si>
  <si>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</si>
  <si>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</si>
  <si>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</si>
  <si>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</si>
  <si>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</si>
  <si>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</si>
  <si>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</si>
  <si>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</si>
  <si>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</si>
  <si>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</si>
  <si>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</si>
  <si>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</si>
  <si>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</si>
  <si>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</si>
  <si>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</si>
  <si>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</si>
  <si>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</si>
  <si>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</si>
  <si>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</si>
  <si>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</si>
  <si>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</si>
  <si>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</si>
  <si>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</si>
  <si>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</si>
  <si>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</si>
  <si>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</si>
  <si>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</si>
  <si>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</si>
  <si>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</si>
  <si>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</si>
  <si>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</si>
  <si>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</si>
  <si>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</si>
  <si>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</si>
  <si>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</si>
  <si>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</si>
  <si>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</si>
  <si>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</si>
  <si>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</si>
  <si>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</si>
  <si>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</si>
  <si>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</si>
  <si>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</si>
  <si>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</si>
  <si>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</si>
  <si>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</si>
  <si>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</si>
  <si>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</si>
  <si>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</si>
  <si>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</si>
  <si>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</si>
  <si>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</si>
  <si>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</si>
  <si>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</si>
  <si>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</si>
  <si>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</si>
  <si>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</si>
  <si>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</si>
  <si>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</si>
  <si>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</si>
  <si>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</si>
  <si>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</si>
  <si>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</si>
  <si>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</si>
  <si>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</si>
  <si>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</si>
  <si>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</si>
  <si>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</si>
  <si>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</si>
  <si>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</si>
  <si>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</si>
  <si>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</si>
  <si>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</si>
  <si>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</si>
  <si>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</si>
  <si>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</si>
  <si>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</si>
  <si>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</si>
  <si>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</si>
  <si>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</si>
  <si>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</si>
  <si>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</si>
  <si>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</si>
  <si>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</si>
  <si>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</si>
  <si>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</si>
  <si>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</si>
  <si>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</si>
  <si>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</si>
  <si>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</si>
  <si>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</si>
  <si>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</si>
  <si>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</si>
  <si>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</si>
  <si>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</si>
  <si>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</si>
  <si>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</si>
  <si>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</si>
  <si>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</si>
  <si>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</si>
  <si>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</si>
  <si>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</si>
  <si>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</si>
  <si>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</si>
  <si>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</si>
  <si>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</si>
  <si>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</si>
  <si>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</si>
  <si>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</si>
  <si>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</si>
  <si>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</si>
  <si>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</si>
  <si>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</si>
  <si>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</si>
  <si>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</si>
  <si>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</si>
  <si>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</si>
  <si>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</si>
  <si>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</si>
  <si>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</si>
  <si>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</si>
  <si>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</si>
  <si>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</si>
  <si>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</si>
  <si>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</si>
  <si>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</si>
  <si>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</si>
  <si>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</si>
  <si>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</si>
  <si>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</si>
  <si>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</si>
  <si>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</si>
  <si>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</si>
  <si>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</si>
  <si>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</si>
  <si>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</si>
  <si>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</si>
  <si>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</si>
  <si>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</si>
  <si>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</si>
  <si>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</si>
  <si>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</si>
  <si>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</si>
  <si>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</si>
  <si>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</si>
  <si>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</si>
  <si>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</si>
  <si>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</si>
  <si>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</si>
  <si>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</si>
  <si>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</si>
  <si>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</si>
  <si>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</si>
  <si>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</si>
  <si>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</si>
  <si>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</si>
  <si>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</si>
  <si>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</si>
  <si>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</si>
  <si>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</si>
  <si>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</si>
  <si>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</si>
  <si>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</si>
  <si>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</si>
  <si>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</si>
  <si>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</si>
  <si>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</si>
  <si>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</si>
  <si>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</si>
  <si>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</si>
  <si>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</si>
  <si>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</si>
  <si>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</si>
  <si>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</si>
  <si>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</si>
  <si>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</si>
  <si>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</si>
  <si>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</si>
  <si>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</si>
  <si>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</si>
  <si>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</si>
  <si>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</si>
  <si>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</si>
  <si>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</si>
  <si>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</si>
  <si>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</si>
  <si>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</si>
  <si>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</si>
  <si>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</si>
  <si>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</si>
  <si>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</si>
  <si>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</si>
  <si>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</si>
  <si>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</si>
  <si>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</si>
  <si>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</si>
  <si>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</si>
  <si>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</si>
  <si>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</si>
  <si>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</si>
  <si>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</si>
  <si>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</si>
  <si>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</si>
  <si>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</si>
  <si>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</si>
  <si>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</si>
  <si>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</si>
  <si>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</si>
  <si>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</si>
  <si>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</si>
  <si>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</si>
  <si>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</si>
  <si>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</si>
  <si>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</si>
  <si>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</si>
  <si>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</si>
  <si>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</si>
  <si>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</si>
  <si>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</si>
  <si>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</si>
  <si>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</si>
  <si>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</si>
  <si>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</si>
  <si>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</si>
  <si>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</si>
  <si>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</si>
  <si>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</si>
  <si>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</si>
  <si>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</si>
  <si>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</si>
  <si>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</si>
  <si>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</si>
  <si>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</si>
  <si>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</si>
  <si>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</si>
  <si>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</si>
  <si>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</si>
  <si>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</si>
  <si>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</si>
  <si>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</si>
  <si>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</si>
  <si>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</si>
  <si>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</si>
  <si>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</si>
  <si>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</si>
  <si>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</si>
  <si>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</si>
  <si>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</si>
  <si>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</si>
  <si>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</si>
  <si>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</si>
  <si>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</si>
  <si>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</si>
  <si>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</si>
  <si>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</si>
  <si>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</si>
  <si>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</si>
  <si>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</si>
  <si>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</si>
  <si>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</si>
  <si>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</si>
  <si>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</si>
  <si>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</si>
  <si>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</si>
  <si>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</si>
  <si>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</si>
  <si>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</si>
  <si>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</si>
  <si>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</si>
  <si>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</si>
  <si>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</si>
  <si>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</si>
  <si>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</si>
  <si>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</si>
  <si>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</si>
  <si>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</si>
  <si>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</si>
  <si>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</si>
  <si>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</si>
  <si>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</si>
  <si>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</si>
  <si>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</si>
  <si>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</si>
  <si>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</si>
  <si>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</si>
  <si>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</si>
  <si>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</si>
  <si>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</si>
  <si>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</si>
  <si>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</si>
  <si>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</si>
  <si>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</si>
  <si>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</si>
  <si>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</si>
  <si>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</si>
  <si>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</si>
  <si>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</si>
  <si>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</si>
  <si>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</si>
  <si>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</si>
  <si>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</si>
  <si>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</si>
  <si>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</si>
  <si>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</si>
  <si>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</si>
  <si>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</si>
  <si>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</si>
  <si>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</si>
  <si>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</si>
  <si>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</si>
  <si>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</si>
  <si>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</si>
  <si>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</si>
  <si>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</si>
  <si>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</si>
  <si>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</si>
  <si>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</si>
  <si>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</si>
  <si>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</si>
  <si>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</si>
  <si>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</si>
  <si>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</si>
  <si>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</si>
  <si>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</si>
  <si>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</si>
  <si>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</si>
  <si>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</si>
  <si>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</si>
  <si>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</si>
  <si>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</si>
  <si>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</si>
  <si>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</si>
  <si>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</si>
  <si>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</si>
  <si>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</si>
  <si>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</si>
  <si>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</si>
  <si>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</si>
  <si>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</si>
  <si>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</si>
  <si>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</si>
  <si>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</si>
  <si>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</si>
  <si>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</si>
  <si>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</si>
  <si>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</si>
  <si>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</si>
  <si>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</si>
  <si>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</si>
  <si>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</si>
  <si>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</si>
  <si>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</si>
  <si>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</si>
  <si>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</si>
  <si>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</si>
  <si>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</si>
  <si>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</si>
  <si>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</si>
  <si>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</si>
  <si>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</si>
  <si>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</si>
  <si>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</si>
  <si>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</si>
  <si>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</si>
  <si>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</si>
  <si>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</si>
  <si>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</si>
  <si>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</si>
  <si>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</si>
  <si>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</si>
  <si>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</si>
  <si>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</si>
  <si>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</si>
  <si>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</si>
  <si>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</si>
  <si>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</si>
  <si>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</si>
  <si>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</si>
  <si>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</si>
  <si>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</si>
  <si>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</si>
  <si>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</si>
  <si>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</si>
  <si>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</si>
  <si>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</si>
  <si>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</si>
  <si>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</si>
  <si>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</si>
  <si>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</si>
  <si>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</si>
  <si>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</si>
  <si>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</si>
  <si>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</si>
  <si>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</si>
  <si>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</si>
  <si>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</si>
  <si>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</si>
  <si>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</si>
  <si>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</si>
  <si>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</si>
  <si>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</si>
  <si>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</si>
  <si>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</si>
  <si>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</si>
  <si>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</si>
  <si>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</si>
  <si>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</si>
  <si>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</si>
  <si>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</si>
  <si>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</si>
  <si>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</si>
  <si>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</si>
  <si>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</si>
  <si>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</si>
  <si>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</si>
  <si>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</si>
  <si>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</si>
  <si>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</si>
  <si>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</si>
  <si>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</si>
  <si>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</si>
  <si>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</si>
  <si>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</si>
  <si>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</si>
  <si>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</si>
  <si>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</si>
  <si>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</si>
  <si>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</si>
  <si>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</si>
  <si>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</si>
  <si>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</si>
  <si>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</si>
  <si>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</si>
  <si>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</si>
  <si>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</si>
  <si>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</si>
  <si>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</si>
  <si>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</si>
  <si>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</si>
  <si>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</si>
  <si>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</si>
  <si>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</si>
  <si>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</si>
  <si>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</si>
  <si>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</si>
  <si>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</si>
  <si>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</si>
  <si>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</si>
  <si>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</si>
  <si>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</si>
  <si>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</si>
  <si>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</si>
  <si>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</si>
  <si>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</si>
  <si>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</si>
  <si>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</si>
  <si>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</si>
  <si>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</si>
  <si>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</si>
  <si>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</si>
  <si>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</si>
  <si>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</si>
  <si>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</si>
  <si>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</si>
  <si>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</si>
  <si>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</si>
  <si>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</si>
  <si>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</si>
  <si>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</si>
  <si>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</si>
  <si>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</si>
  <si>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</si>
  <si>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</si>
  <si>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</si>
  <si>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</si>
  <si>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</si>
  <si>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</si>
  <si>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</si>
  <si>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</si>
  <si>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</si>
  <si>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</si>
  <si>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</si>
  <si>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</si>
  <si>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</si>
  <si>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</si>
  <si>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</si>
  <si>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</si>
  <si>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</si>
  <si>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</si>
  <si>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</si>
  <si>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</si>
  <si>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</si>
  <si>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</si>
  <si>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</si>
  <si>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</si>
  <si>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</si>
  <si>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</si>
  <si>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</si>
  <si>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</si>
  <si>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</si>
  <si>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</si>
  <si>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</si>
  <si>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</si>
  <si>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</si>
  <si>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</si>
  <si>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</si>
  <si>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</si>
  <si>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</si>
  <si>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</si>
  <si>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</si>
  <si>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</si>
  <si>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</si>
  <si>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</si>
  <si>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</si>
  <si>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</si>
  <si>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</si>
  <si>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</si>
  <si>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</si>
  <si>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</si>
  <si>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</si>
  <si>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</si>
  <si>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</si>
  <si>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</si>
  <si>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</si>
  <si>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</si>
  <si>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</si>
  <si>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</si>
  <si>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</si>
  <si>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</si>
  <si>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</si>
  <si>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</si>
  <si>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</si>
  <si>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</si>
  <si>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</si>
  <si>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</si>
  <si>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</si>
  <si>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</si>
  <si>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</si>
  <si>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</si>
  <si>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</si>
  <si>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</si>
  <si>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</si>
  <si>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</si>
  <si>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</si>
  <si>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</si>
  <si>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</si>
  <si>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</si>
  <si>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</si>
  <si>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</si>
  <si>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</si>
  <si>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</si>
  <si>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</si>
  <si>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</si>
  <si>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</si>
  <si>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</si>
  <si>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</si>
  <si>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</si>
  <si>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</si>
  <si>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</si>
  <si>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</si>
  <si>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</si>
  <si>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</si>
  <si>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</si>
  <si>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</si>
  <si>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</si>
  <si>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</si>
  <si>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</si>
  <si>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</si>
  <si>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</si>
  <si>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</si>
  <si>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</si>
  <si>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</si>
  <si>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</si>
  <si>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</si>
  <si>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</si>
  <si>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</si>
  <si>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</si>
  <si>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</si>
  <si>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</si>
  <si>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</si>
  <si>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</si>
  <si>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</si>
  <si>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</si>
  <si>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</si>
  <si>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</si>
  <si>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</si>
  <si>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</si>
  <si>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</si>
  <si>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</si>
  <si>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</si>
  <si>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</si>
  <si>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</si>
  <si>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</si>
  <si>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</si>
  <si>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</si>
  <si>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</si>
  <si>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</si>
  <si>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</si>
  <si>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</si>
  <si>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</si>
  <si>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</si>
  <si>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</si>
  <si>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</si>
  <si>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</si>
  <si>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</si>
  <si>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</si>
  <si>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</si>
  <si>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</si>
  <si>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</si>
  <si>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</si>
  <si>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</si>
  <si>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</si>
  <si>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</si>
  <si>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</si>
  <si>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</si>
  <si>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</si>
  <si>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</si>
  <si>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</si>
  <si>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</si>
  <si>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</si>
  <si>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</si>
  <si>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</si>
  <si>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</si>
  <si>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</si>
  <si>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</si>
  <si>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</si>
  <si>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</si>
  <si>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</si>
  <si>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</si>
  <si>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</si>
  <si>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</si>
  <si>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</si>
  <si>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</si>
  <si>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</si>
  <si>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</si>
  <si>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</si>
  <si>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</si>
  <si>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</si>
  <si>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</si>
  <si>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</si>
  <si>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</si>
  <si>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</si>
  <si>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</si>
  <si>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</si>
  <si>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</si>
  <si>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</si>
  <si>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</si>
  <si>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</si>
  <si>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</si>
  <si>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</si>
  <si>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</si>
  <si>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</si>
  <si>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</si>
  <si>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</si>
  <si>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</si>
  <si>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</si>
  <si>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</si>
  <si>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</si>
  <si>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</si>
  <si>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</si>
  <si>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</si>
  <si>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</si>
  <si>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</si>
  <si>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</si>
  <si>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</si>
  <si>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</si>
  <si>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</si>
  <si>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</si>
  <si>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</si>
  <si>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</si>
  <si>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</si>
  <si>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</si>
  <si>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</si>
  <si>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</si>
  <si>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</si>
  <si>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</si>
  <si>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</si>
  <si>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</si>
  <si>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</si>
  <si>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</si>
  <si>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</si>
  <si>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</si>
  <si>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</si>
  <si>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</si>
  <si>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</si>
  <si>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</si>
  <si>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</si>
  <si>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</si>
  <si>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</si>
  <si>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</si>
  <si>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</si>
  <si>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</si>
  <si>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</si>
  <si>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</si>
  <si>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</si>
  <si>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</si>
  <si>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</si>
  <si>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</si>
  <si>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</si>
  <si>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</si>
  <si>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</si>
  <si>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</si>
  <si>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</si>
  <si>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</si>
  <si>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</si>
  <si>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</si>
  <si>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</si>
  <si>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</si>
  <si>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</si>
  <si>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</si>
  <si>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</si>
  <si>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</si>
  <si>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</si>
  <si>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</si>
  <si>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</si>
  <si>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</si>
  <si>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</si>
  <si>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</si>
  <si>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</si>
  <si>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</si>
  <si>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</si>
  <si>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</si>
  <si>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</si>
  <si>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</si>
  <si>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</si>
  <si>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</si>
  <si>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</si>
  <si>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</si>
  <si>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</si>
  <si>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</si>
  <si>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</si>
  <si>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</si>
  <si>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</si>
  <si>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</si>
  <si>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</si>
  <si>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</si>
  <si>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</si>
  <si>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</si>
  <si>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</si>
  <si>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</si>
  <si>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</si>
  <si>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</si>
  <si>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</si>
  <si>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</si>
  <si>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</si>
  <si>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</si>
  <si>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</si>
  <si>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</si>
  <si>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</si>
  <si>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</si>
  <si>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</si>
  <si>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</si>
  <si>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</si>
  <si>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</si>
  <si>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</si>
  <si>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</si>
  <si>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</si>
  <si>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</si>
  <si>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</si>
  <si>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</si>
  <si>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</si>
  <si>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</si>
  <si>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</si>
  <si>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</si>
  <si>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</si>
  <si>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</si>
  <si>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</si>
  <si>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</si>
  <si>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</si>
  <si>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</si>
  <si>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</si>
  <si>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</si>
  <si>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</si>
  <si>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</si>
  <si>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</si>
  <si>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</si>
  <si>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</si>
  <si>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</si>
  <si>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</si>
  <si>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</si>
  <si>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</si>
  <si>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</si>
  <si>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</si>
  <si>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</si>
  <si>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</si>
  <si>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</si>
  <si>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</si>
  <si>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</si>
  <si>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</si>
  <si>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</si>
  <si>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</si>
  <si>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</si>
  <si>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</si>
  <si>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</si>
  <si>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</si>
  <si>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</si>
  <si>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</si>
  <si>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</si>
  <si>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</si>
  <si>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</si>
  <si>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</si>
  <si>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</si>
  <si>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</si>
  <si>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</si>
  <si>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</si>
  <si>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</si>
  <si>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</si>
  <si>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</si>
  <si>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</si>
  <si>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</si>
  <si>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</si>
  <si>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</si>
  <si>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</si>
  <si>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</si>
  <si>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</si>
  <si>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</si>
  <si>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</si>
  <si>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</si>
  <si>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</si>
  <si>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</si>
  <si>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</si>
  <si>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</si>
  <si>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</si>
  <si>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</si>
  <si>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</si>
  <si>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</si>
  <si>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</si>
  <si>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</si>
  <si>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</si>
  <si>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</si>
  <si>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</si>
  <si>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</si>
  <si>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</si>
  <si>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</si>
  <si>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</si>
  <si>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</si>
  <si>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</si>
  <si>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</si>
  <si>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</si>
  <si>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</si>
  <si>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</si>
  <si>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</si>
  <si>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</si>
  <si>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</si>
  <si>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</si>
  <si>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</si>
  <si>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</si>
  <si>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</si>
  <si>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</si>
  <si>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</si>
  <si>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</si>
  <si>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</si>
  <si>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</si>
  <si>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</si>
  <si>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</si>
  <si>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</si>
  <si>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</si>
  <si>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</si>
  <si>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</si>
  <si>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</si>
  <si>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</si>
  <si>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</si>
  <si>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</si>
  <si>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</si>
  <si>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</si>
  <si>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</si>
  <si>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</si>
  <si>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</si>
  <si>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</si>
  <si>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</si>
  <si>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</si>
  <si>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</si>
  <si>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</si>
  <si>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</si>
  <si>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</si>
  <si>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</si>
  <si>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</si>
  <si>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</si>
  <si>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</si>
  <si>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</si>
  <si>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</si>
  <si>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</si>
  <si>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</si>
  <si>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</si>
  <si>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</si>
  <si>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</si>
  <si>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</si>
  <si>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</si>
  <si>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</si>
  <si>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</si>
  <si>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</si>
  <si>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</si>
  <si>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</si>
  <si>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</si>
  <si>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</si>
  <si>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</si>
  <si>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</si>
  <si>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</si>
  <si>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</si>
  <si>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</si>
  <si>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</si>
  <si>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</si>
  <si>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</si>
  <si>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</si>
  <si>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</si>
  <si>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</si>
  <si>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</si>
  <si>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</si>
  <si>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</si>
  <si>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</si>
  <si>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</si>
  <si>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</si>
  <si>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</si>
  <si>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</si>
  <si>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</si>
  <si>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</si>
  <si>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</si>
  <si>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</si>
  <si>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</si>
  <si>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</si>
  <si>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</si>
  <si>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</si>
  <si>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</si>
  <si>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</si>
  <si>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</si>
  <si>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</si>
  <si>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</si>
  <si>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</si>
  <si>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</si>
  <si>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</si>
  <si>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</si>
  <si>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</si>
  <si>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</si>
  <si>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</si>
  <si>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</si>
  <si>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</si>
  <si>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</si>
  <si>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</si>
  <si>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</si>
  <si>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</si>
  <si>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</si>
  <si>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</si>
  <si>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</si>
  <si>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</si>
  <si>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</si>
  <si>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</si>
  <si>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</si>
  <si>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</si>
  <si>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</si>
  <si>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</si>
  <si>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</si>
  <si>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</si>
  <si>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</si>
  <si>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</si>
  <si>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</si>
  <si>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</si>
  <si>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</si>
  <si>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</si>
  <si>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</si>
  <si>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</si>
  <si>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</si>
  <si>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</si>
  <si>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</si>
  <si>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</si>
  <si>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</si>
  <si>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</si>
  <si>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</si>
  <si>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</si>
  <si>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</si>
  <si>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</si>
  <si>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</si>
  <si>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</si>
  <si>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</si>
  <si>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</si>
  <si>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</si>
  <si>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</si>
  <si>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</si>
  <si>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</si>
  <si>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</si>
  <si>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</si>
  <si>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</si>
  <si>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</si>
  <si>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</si>
  <si>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</si>
  <si>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</si>
  <si>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</si>
  <si>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</si>
  <si>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</si>
  <si>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</si>
  <si>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</si>
  <si>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</si>
  <si>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</si>
  <si>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</si>
  <si>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</si>
  <si>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</si>
  <si>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</si>
  <si>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</si>
  <si>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</si>
  <si>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</si>
  <si>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</si>
  <si>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</si>
  <si>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</si>
  <si>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</si>
  <si>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</si>
  <si>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</si>
  <si>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</si>
  <si>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</si>
  <si>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</si>
  <si>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</si>
  <si>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</si>
  <si>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</si>
  <si>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</si>
  <si>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</si>
  <si>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</si>
  <si>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</si>
  <si>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</si>
  <si>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</si>
  <si>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</si>
  <si>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</si>
  <si>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</si>
  <si>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</si>
  <si>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</si>
  <si>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</si>
  <si>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</si>
  <si>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</si>
  <si>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</si>
  <si>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</si>
  <si>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</si>
  <si>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</si>
  <si>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</si>
  <si>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</si>
  <si>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</si>
  <si>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</si>
  <si>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</si>
  <si>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</si>
  <si>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</si>
  <si>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</si>
  <si>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</si>
  <si>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</si>
  <si>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</si>
  <si>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</si>
  <si>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</si>
  <si>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</si>
  <si>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</si>
  <si>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</si>
  <si>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</si>
  <si>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</si>
  <si>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</si>
  <si>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</si>
  <si>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</si>
  <si>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</si>
  <si>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</si>
  <si>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</si>
  <si>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</si>
  <si>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</si>
  <si>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</si>
  <si>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</si>
  <si>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</si>
  <si>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</si>
  <si>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</si>
  <si>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</si>
  <si>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</si>
  <si>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</si>
  <si>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</si>
  <si>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</si>
  <si>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</si>
  <si>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</si>
  <si>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</si>
  <si>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</si>
  <si>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</si>
  <si>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</si>
  <si>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</si>
  <si>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</si>
  <si>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</si>
  <si>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</si>
  <si>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</si>
  <si>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</si>
  <si>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</si>
  <si>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</si>
  <si>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</si>
  <si>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</si>
  <si>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</si>
  <si>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</si>
  <si>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</si>
  <si>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</si>
  <si>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</si>
  <si>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</si>
  <si>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</si>
  <si>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</si>
  <si>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</si>
  <si>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</si>
  <si>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</si>
  <si>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</si>
  <si>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</si>
  <si>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</si>
  <si>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</si>
  <si>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</si>
  <si>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</si>
  <si>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</si>
  <si>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</si>
  <si>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</si>
  <si>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</si>
  <si>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</si>
  <si>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</si>
  <si>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</si>
  <si>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</si>
  <si>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</si>
  <si>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</si>
  <si>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</si>
  <si>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</si>
  <si>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</si>
  <si>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</si>
  <si>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</si>
  <si>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</si>
  <si>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</si>
  <si>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</si>
  <si>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</si>
  <si>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</si>
  <si>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</si>
  <si>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</si>
  <si>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</si>
  <si>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</si>
  <si>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</si>
  <si>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</si>
  <si>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</si>
  <si>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</si>
  <si>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</si>
  <si>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</si>
  <si>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</si>
  <si>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</si>
  <si>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</si>
  <si>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</si>
  <si>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</si>
  <si>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</si>
  <si>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</si>
  <si>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</si>
  <si>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</si>
  <si>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</si>
  <si>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</si>
  <si>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</si>
  <si>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</si>
  <si>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</si>
  <si>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</si>
  <si>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</si>
  <si>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</si>
  <si>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</si>
  <si>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</si>
  <si>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</si>
  <si>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</si>
  <si>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</si>
  <si>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</si>
  <si>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</si>
  <si>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</si>
  <si>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</si>
  <si>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</si>
  <si>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</si>
  <si>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</si>
  <si>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</si>
  <si>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</si>
  <si>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</si>
  <si>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</si>
  <si>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</si>
  <si>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</si>
  <si>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</si>
  <si>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</si>
  <si>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</si>
  <si>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</si>
  <si>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</si>
  <si>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</si>
  <si>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</si>
  <si>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</si>
  <si>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</si>
  <si>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</si>
  <si>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</si>
  <si>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</si>
  <si>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</si>
  <si>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</si>
  <si>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</si>
  <si>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</si>
  <si>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</si>
  <si>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</si>
  <si>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</si>
  <si>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</si>
  <si>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</si>
  <si>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</si>
  <si>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</si>
  <si>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</si>
  <si>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</si>
  <si>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</si>
  <si>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</si>
  <si>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</si>
  <si>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</si>
  <si>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</si>
  <si>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</si>
  <si>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</si>
  <si>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</si>
  <si>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</si>
  <si>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</si>
  <si>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</si>
  <si>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</si>
  <si>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</si>
  <si>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</si>
  <si>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</si>
  <si>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</si>
  <si>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</si>
  <si>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</si>
  <si>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</si>
  <si>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</si>
  <si>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</si>
  <si>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</si>
  <si>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</si>
  <si>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</si>
  <si>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</si>
  <si>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</si>
  <si>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</si>
  <si>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</si>
  <si>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</si>
  <si>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</si>
  <si>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</si>
  <si>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</si>
  <si>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</si>
  <si>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</si>
  <si>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</si>
  <si>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</si>
  <si>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</si>
  <si>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</si>
  <si>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</si>
  <si>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</si>
  <si>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</si>
  <si>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</si>
  <si>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</si>
  <si>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</si>
  <si>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</si>
  <si>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</si>
  <si>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</si>
  <si>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</si>
  <si>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</si>
  <si>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</si>
  <si>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</si>
  <si>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</si>
  <si>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</si>
  <si>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</si>
  <si>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</si>
  <si>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</si>
  <si>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</si>
  <si>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</si>
  <si>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</si>
  <si>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</si>
  <si>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</si>
  <si>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</si>
  <si>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</si>
  <si>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</si>
  <si>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</si>
  <si>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</si>
  <si>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</si>
  <si>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</si>
  <si>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</si>
  <si>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</si>
  <si>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</si>
  <si>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</si>
  <si>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</si>
  <si>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</si>
  <si>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</si>
  <si>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</si>
  <si>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</si>
  <si>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</si>
  <si>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</si>
  <si>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</si>
  <si>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</si>
  <si>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</si>
  <si>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</si>
  <si>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</si>
  <si>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</si>
  <si>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</si>
  <si>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</si>
  <si>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</si>
  <si>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</si>
  <si>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</si>
  <si>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</si>
  <si>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</si>
  <si>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</si>
  <si>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</si>
  <si>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</si>
  <si>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</si>
  <si>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</si>
  <si>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</si>
  <si>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</si>
  <si>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</si>
  <si>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</si>
  <si>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</si>
  <si>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</si>
  <si>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</si>
  <si>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</si>
  <si>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</si>
  <si>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</si>
  <si>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</si>
  <si>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</si>
  <si>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</si>
  <si>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</si>
  <si>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</si>
  <si>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</si>
  <si>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</si>
  <si>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</si>
  <si>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</si>
  <si>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</si>
  <si>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</si>
  <si>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</si>
  <si>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</si>
  <si>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</si>
  <si>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</si>
  <si>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</si>
  <si>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</si>
  <si>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</si>
  <si>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</si>
  <si>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</si>
  <si>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</si>
  <si>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</si>
  <si>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</si>
  <si>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</si>
  <si>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</si>
  <si>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</si>
  <si>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</si>
  <si>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</si>
  <si>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</si>
  <si>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</si>
  <si>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</si>
  <si>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</si>
  <si>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</si>
  <si>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</si>
  <si>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</si>
  <si>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</si>
  <si>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</si>
  <si>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</si>
  <si>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</si>
  <si>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</si>
  <si>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</si>
  <si>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</si>
  <si>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</si>
  <si>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</si>
  <si>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</si>
  <si>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</si>
  <si>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</si>
  <si>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</si>
  <si>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</si>
  <si>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</si>
  <si>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</si>
  <si>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</si>
  <si>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</si>
  <si>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</si>
  <si>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</si>
  <si>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</si>
  <si>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</si>
  <si>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</si>
  <si>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</si>
  <si>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</si>
  <si>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</si>
  <si>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</si>
  <si>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</si>
  <si>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</si>
  <si>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</si>
  <si>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</si>
  <si>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</si>
  <si>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</si>
  <si>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</si>
  <si>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</si>
  <si>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</si>
  <si>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</si>
  <si>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</si>
  <si>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</si>
  <si>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</si>
  <si>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</si>
  <si>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</si>
  <si>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</si>
  <si>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</si>
  <si>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</si>
  <si>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</si>
  <si>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</si>
  <si>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</si>
  <si>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</si>
  <si>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</si>
  <si>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</si>
  <si>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</si>
  <si>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</si>
  <si>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</si>
  <si>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</si>
  <si>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</si>
  <si>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</si>
  <si>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</si>
  <si>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</si>
  <si>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</si>
  <si>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</si>
  <si>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</si>
  <si>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</si>
  <si>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</si>
  <si>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</si>
  <si>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</si>
  <si>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</si>
  <si>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</si>
  <si>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</si>
  <si>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</si>
  <si>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</si>
  <si>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</si>
  <si>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</si>
  <si>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</si>
  <si>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</si>
  <si>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</si>
  <si>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</si>
  <si>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</si>
  <si>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</si>
  <si>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</si>
  <si>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</si>
  <si>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</si>
  <si>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</si>
  <si>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</si>
  <si>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</si>
  <si>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</si>
  <si>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</si>
  <si>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</si>
  <si>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</si>
  <si>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</si>
  <si>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</si>
  <si>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</si>
  <si>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</si>
  <si>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</si>
  <si>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</si>
  <si>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</si>
  <si>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</si>
  <si>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</si>
  <si>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</si>
  <si>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</si>
  <si>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</si>
  <si>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</si>
  <si>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</si>
  <si>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</si>
  <si>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</si>
  <si>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</si>
  <si>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</si>
  <si>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</si>
  <si>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</si>
  <si>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</si>
  <si>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</si>
  <si>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</si>
  <si>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</si>
  <si>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</si>
  <si>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</si>
  <si>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</si>
  <si>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</si>
  <si>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</si>
  <si>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</si>
  <si>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</si>
  <si>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</si>
  <si>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</si>
  <si>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</si>
  <si>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</si>
  <si>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</si>
  <si>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</si>
  <si>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</si>
  <si>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</si>
  <si>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</si>
  <si>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</si>
  <si>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</si>
  <si>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</si>
  <si>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</si>
  <si>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</si>
  <si>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</si>
  <si>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</si>
  <si>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</si>
  <si>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</si>
  <si>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</si>
  <si>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</si>
  <si>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</si>
  <si>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</si>
  <si>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</si>
  <si>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</si>
  <si>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</si>
  <si>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</si>
  <si>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</si>
  <si>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</si>
  <si>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</si>
  <si>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</si>
  <si>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</si>
  <si>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</si>
  <si>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</si>
  <si>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</si>
  <si>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</si>
  <si>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</si>
  <si>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</si>
  <si>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</si>
  <si>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</si>
  <si>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</si>
  <si>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</si>
  <si>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</si>
  <si>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</si>
  <si>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</si>
  <si>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</si>
  <si>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</si>
  <si>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</si>
  <si>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</si>
  <si>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</si>
  <si>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</si>
  <si>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</si>
  <si>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</si>
  <si>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</si>
  <si>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</si>
  <si>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</si>
  <si>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</si>
  <si>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</si>
  <si>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</si>
  <si>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</si>
  <si>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</si>
  <si>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</si>
  <si>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</si>
  <si>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</si>
  <si>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</si>
  <si>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</si>
  <si>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</si>
  <si>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</si>
  <si>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</si>
  <si>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</si>
  <si>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</si>
  <si>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</si>
  <si>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</si>
  <si>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</si>
  <si>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</si>
  <si>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</si>
  <si>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</si>
  <si>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</si>
  <si>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</si>
  <si>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</si>
  <si>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</si>
  <si>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</si>
  <si>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</si>
  <si>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</si>
  <si>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</si>
  <si>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</si>
  <si>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</si>
  <si>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</si>
  <si>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</si>
  <si>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</si>
  <si>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</si>
  <si>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</si>
  <si>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</si>
  <si>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</si>
  <si>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</si>
  <si>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</si>
  <si>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</si>
  <si>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</si>
  <si>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</si>
  <si>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</si>
  <si>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</si>
  <si>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</si>
  <si>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</si>
  <si>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</si>
  <si>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</si>
  <si>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</si>
  <si>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</si>
  <si>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</si>
  <si>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</si>
  <si>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</si>
  <si>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</si>
  <si>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</si>
  <si>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</si>
  <si>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</si>
  <si>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</si>
  <si>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</si>
  <si>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</si>
  <si>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</si>
  <si>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</si>
  <si>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</si>
  <si>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</si>
  <si>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</si>
  <si>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</si>
  <si>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</si>
  <si>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</si>
  <si>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</si>
  <si>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</si>
  <si>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</si>
  <si>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</si>
  <si>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</si>
  <si>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</si>
  <si>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</si>
  <si>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</si>
  <si>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</si>
  <si>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</si>
  <si>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</si>
  <si>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</si>
  <si>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</si>
  <si>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</si>
  <si>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</si>
  <si>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</si>
  <si>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</si>
  <si>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</si>
  <si>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</si>
  <si>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</si>
  <si>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</si>
  <si>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</si>
  <si>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</si>
  <si>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</si>
  <si>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</si>
  <si>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</si>
  <si>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</si>
  <si>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</si>
  <si>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</si>
  <si>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</si>
  <si>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</si>
  <si>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</si>
  <si>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</si>
  <si>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</si>
  <si>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</si>
  <si>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</si>
  <si>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</si>
  <si>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</si>
  <si>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</si>
  <si>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</si>
  <si>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</si>
  <si>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</si>
  <si>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</si>
  <si>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</si>
  <si>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</si>
  <si>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</si>
  <si>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</si>
  <si>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</si>
  <si>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</si>
  <si>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</si>
  <si>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</si>
  <si>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</si>
  <si>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</si>
  <si>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</si>
  <si>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</si>
  <si>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</si>
  <si>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</si>
  <si>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</si>
  <si>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</si>
  <si>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</si>
  <si>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</si>
  <si>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</si>
  <si>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</si>
  <si>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</si>
  <si>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</si>
  <si>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</si>
  <si>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</si>
  <si>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</si>
  <si>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</si>
  <si>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</si>
  <si>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</si>
  <si>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</si>
  <si>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</si>
  <si>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</si>
  <si>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</si>
  <si>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</si>
  <si>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</si>
  <si>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</si>
  <si>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</si>
  <si>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</si>
  <si>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</si>
  <si>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</si>
  <si>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</si>
  <si>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</si>
  <si>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</si>
  <si>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</si>
  <si>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</si>
  <si>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</si>
  <si>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</si>
  <si>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</si>
  <si>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</si>
  <si>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</si>
  <si>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</si>
  <si>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</si>
  <si>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</si>
  <si>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</si>
  <si>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</si>
  <si>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</si>
  <si>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</si>
  <si>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</si>
  <si>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</si>
  <si>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</si>
  <si>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</si>
  <si>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</si>
  <si>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</si>
  <si>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</si>
  <si>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</si>
  <si>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</si>
  <si>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</si>
  <si>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</si>
  <si>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</si>
  <si>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</si>
  <si>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</si>
  <si>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</si>
  <si>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</si>
  <si>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</si>
  <si>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</si>
  <si>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</si>
  <si>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</si>
  <si>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</si>
  <si>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</si>
  <si>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</si>
  <si>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</si>
  <si>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</si>
  <si>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</si>
  <si>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</si>
  <si>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</si>
  <si>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</si>
  <si>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</si>
  <si>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</si>
  <si>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</si>
  <si>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</si>
  <si>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</si>
  <si>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</si>
  <si>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</si>
  <si>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</si>
  <si>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</si>
  <si>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</si>
  <si>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</si>
  <si>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</si>
  <si>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</si>
  <si>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</si>
  <si>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</si>
  <si>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</si>
  <si>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</si>
  <si>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</si>
  <si>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</si>
  <si>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</si>
  <si>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</si>
  <si>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</si>
  <si>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</si>
  <si>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</si>
  <si>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</si>
  <si>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</si>
  <si>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</si>
  <si>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</si>
  <si>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</si>
  <si>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</si>
  <si>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</si>
  <si>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</si>
  <si>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</si>
  <si>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</si>
  <si>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</si>
  <si>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</si>
  <si>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</si>
  <si>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</si>
  <si>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</si>
  <si>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</si>
  <si>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</si>
  <si>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</si>
  <si>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</si>
  <si>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</si>
  <si>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</si>
  <si>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</si>
  <si>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</si>
  <si>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</si>
  <si>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</si>
  <si>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</si>
  <si>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</si>
  <si>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</si>
  <si>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</si>
  <si>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</si>
  <si>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</si>
  <si>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</si>
  <si>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</si>
  <si>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</si>
  <si>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</si>
  <si>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</si>
  <si>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</si>
  <si>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</si>
  <si>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</si>
  <si>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</si>
  <si>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</si>
  <si>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</si>
  <si>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</si>
  <si>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</si>
  <si>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</si>
  <si>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</si>
  <si>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</si>
  <si>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</si>
  <si>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</si>
  <si>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</si>
  <si>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</si>
  <si>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</si>
  <si>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</si>
  <si>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</si>
  <si>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</si>
  <si>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</si>
  <si>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</si>
  <si>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</si>
  <si>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</si>
  <si>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</si>
  <si>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</si>
  <si>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</si>
  <si>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</si>
  <si>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</si>
  <si>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</si>
  <si>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</si>
  <si>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</si>
  <si>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</si>
  <si>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</si>
  <si>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</si>
  <si>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</si>
  <si>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</si>
  <si>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</si>
  <si>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</si>
  <si>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</si>
  <si>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</si>
  <si>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</si>
  <si>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</si>
  <si>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</si>
  <si>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</si>
  <si>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</si>
  <si>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</si>
  <si>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</si>
  <si>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</si>
  <si>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</si>
  <si>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</si>
  <si>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</si>
  <si>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</si>
  <si>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</si>
  <si>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</si>
  <si>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</si>
  <si>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</si>
  <si>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</si>
  <si>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</si>
  <si>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</si>
  <si>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</si>
  <si>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</si>
  <si>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</si>
  <si>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</si>
  <si>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</si>
  <si>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</si>
  <si>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</si>
  <si>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</si>
  <si>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</si>
  <si>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</si>
  <si>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</si>
  <si>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</si>
  <si>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</si>
  <si>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</si>
  <si>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</si>
  <si>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</si>
  <si>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</si>
  <si>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</si>
  <si>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</si>
  <si>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</si>
  <si>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</si>
  <si>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</si>
  <si>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</si>
  <si>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</si>
  <si>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</si>
  <si>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</si>
  <si>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</si>
  <si>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</si>
  <si>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</si>
  <si>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</si>
  <si>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</si>
  <si>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</si>
  <si>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</si>
  <si>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</si>
  <si>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</si>
  <si>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</si>
  <si>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</si>
  <si>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</si>
  <si>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</si>
  <si>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</si>
  <si>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</si>
  <si>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</si>
  <si>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</si>
  <si>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</si>
  <si>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</si>
  <si>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</si>
  <si>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</si>
  <si>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</si>
  <si>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</si>
  <si>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</si>
  <si>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</si>
  <si>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</si>
  <si>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</si>
  <si>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</si>
  <si>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</si>
  <si>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</si>
  <si>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</si>
  <si>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</si>
  <si>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</si>
  <si>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</si>
  <si>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</si>
  <si>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</si>
  <si>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</si>
  <si>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</si>
  <si>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</si>
  <si>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</si>
  <si>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</si>
  <si>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</si>
  <si>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</si>
  <si>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</si>
  <si>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</si>
  <si>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</si>
  <si>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</si>
  <si>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</si>
  <si>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</si>
  <si>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</si>
  <si>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</si>
  <si>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</si>
  <si>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</si>
  <si>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</si>
  <si>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</si>
  <si>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</si>
  <si>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</si>
  <si>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</si>
  <si>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</si>
  <si>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</si>
  <si>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</si>
  <si>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</si>
  <si>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</si>
  <si>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</si>
  <si>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</si>
  <si>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</si>
  <si>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</si>
  <si>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</si>
  <si>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</si>
  <si>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</si>
  <si>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</si>
  <si>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</si>
  <si>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</si>
  <si>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</si>
  <si>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</si>
  <si>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</si>
  <si>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</si>
  <si>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</si>
  <si>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</si>
  <si>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</si>
  <si>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</si>
  <si>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</si>
  <si>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</si>
  <si>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</si>
  <si>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</si>
  <si>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</si>
  <si>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</si>
  <si>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</si>
  <si>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</si>
  <si>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</si>
  <si>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</si>
  <si>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</si>
  <si>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</si>
  <si>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</si>
  <si>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</si>
  <si>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</si>
  <si>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</si>
  <si>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</si>
  <si>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</si>
  <si>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</si>
  <si>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</si>
  <si>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</si>
  <si>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</si>
  <si>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</si>
  <si>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</si>
  <si>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</si>
  <si>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</si>
  <si>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</si>
  <si>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</si>
  <si>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</si>
  <si>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</si>
  <si>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</si>
  <si>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</si>
  <si>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</si>
  <si>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</si>
  <si>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</si>
  <si>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</si>
  <si>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</si>
  <si>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</si>
  <si>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</si>
  <si>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</si>
  <si>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</si>
  <si>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</si>
  <si>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</si>
  <si>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</si>
  <si>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</si>
  <si>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</si>
  <si>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</si>
  <si>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</si>
  <si>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</si>
  <si>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</si>
  <si>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</si>
  <si>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</si>
  <si>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</si>
  <si>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</si>
  <si>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</si>
  <si>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</si>
  <si>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</si>
  <si>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</si>
  <si>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</si>
  <si>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</si>
  <si>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</si>
  <si>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</si>
  <si>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</si>
  <si>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</si>
  <si>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</si>
  <si>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</si>
  <si>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</si>
  <si>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</si>
  <si>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</si>
  <si>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</si>
  <si>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</si>
  <si>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</si>
  <si>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</si>
  <si>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</si>
  <si>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</si>
  <si>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</si>
  <si>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</si>
  <si>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</si>
  <si>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</si>
  <si>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</si>
  <si>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</si>
  <si>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</si>
  <si>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</si>
  <si>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</si>
  <si>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</si>
  <si>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</si>
  <si>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</si>
  <si>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</si>
  <si>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</si>
  <si>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</si>
  <si>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</si>
  <si>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</si>
  <si>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</si>
  <si>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</si>
  <si>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</si>
  <si>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</si>
  <si>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</si>
  <si>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</si>
  <si>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</si>
  <si>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</si>
  <si>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</si>
  <si>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</si>
  <si>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</si>
  <si>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</si>
  <si>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</si>
  <si>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</si>
  <si>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</si>
  <si>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</si>
  <si>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</si>
  <si>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</si>
  <si>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</si>
  <si>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</si>
  <si>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</si>
  <si>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</si>
  <si>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</si>
  <si>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</si>
  <si>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</si>
  <si>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</si>
  <si>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</si>
  <si>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</si>
  <si>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</si>
  <si>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</si>
  <si>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</si>
  <si>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</si>
  <si>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</si>
  <si>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</si>
  <si>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</si>
  <si>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</si>
  <si>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</si>
  <si>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</si>
  <si>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</si>
  <si>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</si>
  <si>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</si>
  <si>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</si>
  <si>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</si>
  <si>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</si>
  <si>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</si>
  <si>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</si>
  <si>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</si>
  <si>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</si>
  <si>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</si>
  <si>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</si>
  <si>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</si>
  <si>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</si>
  <si>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</si>
  <si>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</si>
  <si>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</si>
  <si>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</si>
  <si>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</si>
  <si>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</si>
  <si>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</si>
  <si>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</si>
  <si>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</si>
  <si>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</si>
  <si>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</si>
  <si>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</si>
  <si>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</si>
  <si>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</si>
  <si>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</si>
  <si>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</si>
  <si>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</si>
  <si>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</si>
  <si>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</si>
  <si>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</si>
  <si>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</si>
  <si>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</si>
  <si>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</si>
  <si>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</si>
  <si>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</si>
  <si>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</si>
  <si>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</si>
  <si>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</si>
  <si>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</si>
  <si>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</si>
  <si>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</si>
  <si>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</si>
  <si>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</si>
  <si>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</si>
  <si>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</si>
  <si>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</si>
  <si>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</si>
  <si>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</si>
  <si>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</si>
  <si>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</si>
  <si>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</si>
  <si>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</si>
  <si>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</si>
  <si>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</si>
  <si>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</si>
  <si>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</si>
  <si>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</si>
  <si>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</si>
  <si>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</si>
  <si>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</si>
  <si>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</si>
  <si>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</si>
  <si>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</si>
  <si>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</si>
  <si>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</si>
  <si>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</si>
  <si>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</si>
  <si>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</si>
  <si>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</si>
  <si>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</si>
  <si>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</si>
  <si>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</si>
  <si>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</si>
  <si>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</si>
  <si>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</si>
  <si>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</si>
  <si>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</si>
  <si>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</si>
  <si>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</si>
  <si>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</si>
  <si>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</si>
  <si>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</si>
  <si>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</si>
  <si>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</si>
  <si>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</si>
  <si>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</si>
  <si>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</si>
  <si>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</si>
  <si>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</si>
  <si>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</si>
  <si>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</si>
  <si>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</si>
  <si>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</si>
  <si>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</si>
  <si>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</si>
  <si>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</si>
  <si>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</si>
  <si>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</si>
  <si>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</si>
  <si>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</si>
  <si>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</si>
  <si>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</si>
  <si>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</si>
  <si>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</si>
  <si>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</si>
  <si>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</si>
  <si>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</si>
  <si>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</si>
  <si>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</si>
  <si>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</si>
  <si>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</si>
  <si>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</si>
  <si>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</si>
  <si>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</si>
  <si>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</si>
  <si>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</si>
  <si>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</si>
  <si>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</si>
  <si>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</si>
  <si>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</si>
  <si>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</si>
  <si>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</si>
  <si>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</si>
  <si>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</si>
  <si>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</si>
  <si>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</si>
  <si>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</si>
  <si>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</si>
  <si>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</si>
  <si>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</si>
  <si>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</si>
  <si>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</si>
  <si>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</si>
  <si>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</si>
  <si>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</si>
  <si>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</si>
  <si>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</si>
  <si>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</si>
  <si>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</si>
  <si>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</si>
  <si>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</si>
  <si>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</si>
  <si>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</si>
  <si>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</si>
  <si>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</si>
  <si>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</si>
  <si>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</si>
  <si>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</si>
  <si>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</si>
  <si>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</si>
  <si>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</si>
  <si>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</si>
  <si>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</si>
  <si>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</si>
  <si>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</si>
  <si>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</si>
  <si>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</si>
  <si>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</si>
  <si>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</si>
  <si>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</si>
  <si>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</si>
  <si>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</si>
  <si>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</si>
  <si>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</si>
  <si>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</si>
  <si>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</si>
  <si>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</si>
  <si>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</si>
  <si>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</si>
  <si>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</si>
  <si>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</si>
  <si>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</si>
  <si>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</si>
  <si>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</si>
  <si>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</si>
  <si>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</si>
  <si>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</si>
  <si>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</si>
  <si>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</si>
  <si>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</si>
  <si>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</si>
  <si>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</si>
  <si>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</si>
  <si>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</si>
  <si>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</si>
  <si>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</si>
  <si>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</si>
  <si>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</si>
  <si>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</si>
  <si>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</si>
  <si>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</si>
  <si>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</si>
  <si>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</si>
  <si>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</si>
  <si>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</si>
  <si>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</si>
  <si>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</si>
  <si>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</si>
  <si>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</si>
  <si>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</si>
  <si>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</si>
  <si>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</si>
  <si>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</si>
  <si>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</si>
  <si>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</si>
  <si>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</si>
  <si>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</si>
  <si>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</si>
  <si>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</si>
  <si>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</si>
  <si>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</si>
  <si>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</si>
  <si>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</si>
  <si>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</si>
  <si>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</si>
  <si>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</si>
  <si>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</si>
  <si>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</si>
  <si>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</si>
  <si>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</si>
  <si>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</si>
  <si>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</si>
  <si>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</si>
  <si>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</si>
  <si>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</si>
  <si>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</si>
  <si>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</si>
  <si>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</si>
  <si>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</si>
  <si>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</si>
  <si>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</si>
  <si>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</si>
  <si>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</si>
  <si>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</si>
  <si>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</si>
  <si>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</si>
  <si>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</si>
  <si>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</si>
  <si>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</si>
  <si>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</si>
  <si>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</si>
  <si>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</si>
  <si>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</si>
  <si>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</si>
  <si>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</si>
  <si>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</si>
  <si>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</si>
  <si>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</si>
  <si>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</si>
  <si>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</si>
  <si>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</si>
  <si>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</si>
  <si>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</si>
  <si>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</si>
  <si>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</si>
  <si>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</si>
  <si>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</si>
  <si>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</si>
  <si>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</si>
  <si>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</si>
  <si>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</si>
  <si>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</si>
  <si>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</si>
  <si>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</si>
  <si>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</si>
  <si>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</si>
  <si>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</si>
  <si>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</si>
  <si>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</si>
  <si>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</si>
  <si>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</si>
  <si>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</si>
  <si>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</si>
  <si>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</si>
  <si>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</si>
  <si>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</si>
  <si>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</si>
  <si>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</si>
  <si>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</si>
  <si>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</si>
  <si>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</si>
  <si>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</si>
  <si>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</si>
  <si>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</si>
  <si>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</si>
  <si>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</si>
  <si>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</si>
  <si>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</si>
  <si>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</si>
  <si>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</si>
  <si>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</si>
  <si>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</si>
  <si>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</si>
  <si>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</si>
  <si>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</si>
  <si>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</si>
  <si>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</si>
  <si>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</si>
  <si>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</si>
  <si>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</si>
  <si>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</si>
  <si>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</si>
  <si>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</si>
  <si>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</si>
  <si>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</si>
  <si>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</si>
  <si>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</si>
  <si>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</si>
  <si>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</si>
  <si>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</si>
  <si>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</si>
  <si>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</si>
  <si>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</si>
  <si>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</si>
  <si>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</si>
  <si>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</si>
  <si>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</si>
  <si>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</si>
  <si>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</si>
  <si>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</si>
  <si>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</si>
  <si>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</si>
  <si>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</si>
  <si>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</si>
  <si>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</si>
  <si>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</si>
  <si>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</si>
  <si>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</si>
  <si>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</si>
  <si>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</si>
  <si>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</si>
  <si>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</si>
  <si>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</si>
  <si>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</si>
  <si>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</si>
  <si>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</si>
  <si>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</si>
  <si>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</si>
  <si>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</si>
  <si>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</si>
  <si>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</si>
  <si>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</si>
  <si>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</si>
  <si>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</si>
  <si>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</si>
  <si>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</si>
  <si>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</si>
  <si>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</si>
  <si>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</si>
  <si>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</si>
  <si>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</si>
  <si>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</si>
  <si>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</si>
  <si>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</si>
  <si>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</si>
  <si>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</si>
  <si>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</si>
  <si>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</si>
  <si>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</si>
  <si>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</si>
  <si>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</si>
  <si>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</si>
  <si>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</si>
  <si>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</si>
  <si>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</si>
  <si>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</si>
  <si>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</si>
  <si>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</si>
  <si>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</si>
  <si>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</si>
  <si>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</si>
  <si>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</si>
  <si>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</si>
  <si>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</si>
  <si>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</si>
  <si>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</si>
  <si>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</si>
  <si>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</si>
  <si>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</si>
  <si>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</si>
  <si>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</si>
  <si>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</si>
  <si>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</si>
  <si>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</si>
  <si>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</si>
  <si>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</si>
  <si>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</si>
  <si>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</si>
  <si>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</si>
  <si>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</si>
  <si>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</si>
  <si>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</si>
  <si>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</si>
  <si>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</si>
  <si>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</si>
  <si>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</si>
  <si>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</si>
  <si>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</si>
  <si>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</si>
  <si>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</si>
  <si>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</si>
  <si>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</si>
  <si>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</si>
  <si>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</si>
  <si>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</si>
  <si>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</si>
  <si>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</si>
  <si>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</si>
  <si>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</si>
  <si>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</si>
  <si>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</si>
  <si>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</si>
  <si>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</si>
  <si>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</si>
  <si>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</si>
  <si>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</si>
  <si>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</si>
  <si>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</si>
  <si>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</si>
  <si>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</si>
  <si>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</si>
  <si>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</si>
  <si>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</si>
  <si>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</si>
  <si>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</si>
  <si>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</si>
  <si>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</si>
  <si>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</si>
  <si>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</si>
  <si>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</si>
  <si>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</si>
  <si>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</si>
  <si>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</si>
  <si>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</si>
  <si>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</si>
  <si>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</si>
  <si>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</si>
  <si>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</si>
  <si>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</si>
  <si>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</si>
  <si>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</si>
  <si>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</si>
  <si>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</si>
  <si>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</si>
  <si>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</si>
  <si>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</si>
  <si>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</si>
  <si>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</si>
  <si>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</si>
  <si>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</si>
  <si>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</si>
  <si>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</si>
  <si>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</si>
  <si>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</si>
  <si>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</si>
  <si>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</si>
  <si>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</si>
  <si>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</si>
  <si>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</si>
  <si>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</si>
  <si>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</si>
  <si>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</si>
  <si>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</si>
  <si>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</si>
  <si>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</si>
  <si>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</si>
  <si>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</si>
  <si>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</si>
  <si>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</si>
  <si>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</si>
  <si>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</si>
  <si>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</si>
  <si>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</si>
  <si>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</si>
  <si>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</si>
  <si>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</si>
  <si>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</si>
  <si>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</si>
  <si>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</si>
  <si>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</si>
  <si>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</si>
  <si>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</si>
  <si>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</si>
  <si>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</si>
  <si>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</si>
  <si>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</si>
  <si>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</si>
  <si>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</si>
  <si>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</si>
  <si>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</si>
  <si>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</si>
  <si>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</si>
  <si>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</si>
  <si>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</si>
  <si>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</si>
  <si>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</si>
  <si>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</si>
  <si>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</si>
  <si>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</si>
  <si>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</si>
  <si>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</si>
  <si>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</si>
  <si>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</si>
  <si>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</si>
  <si>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</si>
  <si>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</si>
  <si>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</si>
  <si>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</si>
  <si>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</si>
  <si>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</si>
  <si>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</si>
  <si>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</si>
  <si>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</si>
  <si>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</si>
  <si>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</si>
  <si>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</si>
  <si>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</si>
  <si>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</si>
  <si>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</si>
  <si>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</si>
  <si>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</si>
  <si>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</si>
  <si>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</si>
  <si>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</si>
  <si>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</si>
  <si>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</si>
  <si>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</si>
  <si>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</si>
  <si>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</si>
  <si>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</si>
  <si>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</si>
  <si>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</si>
  <si>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</si>
  <si>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</si>
  <si>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</si>
  <si>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</si>
  <si>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</si>
  <si>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</si>
  <si>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</si>
  <si>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</si>
  <si>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</si>
  <si>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</si>
  <si>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</si>
  <si>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</si>
  <si>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</si>
  <si>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</si>
  <si>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</si>
  <si>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</si>
  <si>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</si>
  <si>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</si>
  <si>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</si>
  <si>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</si>
  <si>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</si>
  <si>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</si>
  <si>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</si>
  <si>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</si>
  <si>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</si>
  <si>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</si>
  <si>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</si>
  <si>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</si>
  <si>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</si>
  <si>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</si>
  <si>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</si>
  <si>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</si>
  <si>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</si>
  <si>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</si>
  <si>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</si>
  <si>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</si>
  <si>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</si>
  <si>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</si>
  <si>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</si>
  <si>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</si>
  <si>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</si>
  <si>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</si>
  <si>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</si>
  <si>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</si>
  <si>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</si>
  <si>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</si>
  <si>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</si>
  <si>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</si>
  <si>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</si>
  <si>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</si>
  <si>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</si>
  <si>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</si>
  <si>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</si>
  <si>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</si>
  <si>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</si>
  <si>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</si>
  <si>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</si>
  <si>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</si>
  <si>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</si>
  <si>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</si>
  <si>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</si>
  <si>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</si>
  <si>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</si>
  <si>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</si>
  <si>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</si>
  <si>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</si>
  <si>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</si>
  <si>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</si>
  <si>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</si>
  <si>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</si>
  <si>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</si>
  <si>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</si>
  <si>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</si>
  <si>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</si>
  <si>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</si>
  <si>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</si>
  <si>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</si>
  <si>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</si>
  <si>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</si>
  <si>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</si>
  <si>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</si>
  <si>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</si>
  <si>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</si>
  <si>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</si>
  <si>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</si>
  <si>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</si>
  <si>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</si>
  <si>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</si>
  <si>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</si>
  <si>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</si>
  <si>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</si>
  <si>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</si>
  <si>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</si>
  <si>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</si>
  <si>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</si>
  <si>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</si>
  <si>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</si>
  <si>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</si>
  <si>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</si>
  <si>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</si>
  <si>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</si>
  <si>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</si>
  <si>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</si>
  <si>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</si>
  <si>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</si>
  <si>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</si>
  <si>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</si>
  <si>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</si>
  <si>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</si>
  <si>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</si>
  <si>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</si>
  <si>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</si>
  <si>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</si>
  <si>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</si>
  <si>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</si>
  <si>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</si>
  <si>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</si>
  <si>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</si>
  <si>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</si>
  <si>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</si>
  <si>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</si>
  <si>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</si>
  <si>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</si>
  <si>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</si>
  <si>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</si>
  <si>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</si>
  <si>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</si>
  <si>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</si>
  <si>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</si>
  <si>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</si>
  <si>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</si>
  <si>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</si>
  <si>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</si>
  <si>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</si>
  <si>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</si>
  <si>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</si>
  <si>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</si>
  <si>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</si>
  <si>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</si>
  <si>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</si>
  <si>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</si>
  <si>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</si>
  <si>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</si>
  <si>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</si>
  <si>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</si>
  <si>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</si>
  <si>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</si>
  <si>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</si>
  <si>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</si>
  <si>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</si>
  <si>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</si>
  <si>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</si>
  <si>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</si>
  <si>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</si>
  <si>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</si>
  <si>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</si>
  <si>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</si>
  <si>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</si>
  <si>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</si>
  <si>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</si>
  <si>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</si>
  <si>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</si>
  <si>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</si>
  <si>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</si>
  <si>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</si>
  <si>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</si>
  <si>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</si>
  <si>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</si>
  <si>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</si>
  <si>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</si>
  <si>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</si>
  <si>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</si>
  <si>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</si>
  <si>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</si>
  <si>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</si>
  <si>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</si>
  <si>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</si>
  <si>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</si>
  <si>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</si>
  <si>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</si>
  <si>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</si>
  <si>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</si>
  <si>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</si>
  <si>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</si>
  <si>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</si>
  <si>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</si>
  <si>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</si>
  <si>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</si>
  <si>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</si>
  <si>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</si>
  <si>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</si>
  <si>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</si>
  <si>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</si>
  <si>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</si>
  <si>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</si>
  <si>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</si>
  <si>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</si>
  <si>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</si>
  <si>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</si>
  <si>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</si>
  <si>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</si>
  <si>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</si>
  <si>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</si>
  <si>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</si>
  <si>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</si>
  <si>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</si>
  <si>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</si>
  <si>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</si>
  <si>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</si>
  <si>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</si>
  <si>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</si>
  <si>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</si>
  <si>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</si>
  <si>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</si>
  <si>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</si>
  <si>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</si>
  <si>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</si>
  <si>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</si>
  <si>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</si>
  <si>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</si>
  <si>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</si>
  <si>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</si>
  <si>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</si>
  <si>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</si>
  <si>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</si>
  <si>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</si>
  <si>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</si>
  <si>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</si>
  <si>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</si>
  <si>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</si>
  <si>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</si>
  <si>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</si>
  <si>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</si>
  <si>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</si>
  <si>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</si>
  <si>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</si>
  <si>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</si>
  <si>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</si>
  <si>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</si>
  <si>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</si>
  <si>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</si>
  <si>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</si>
  <si>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</si>
  <si>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</si>
  <si>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</si>
  <si>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</si>
  <si>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</si>
  <si>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</si>
  <si>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</si>
  <si>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</si>
  <si>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</si>
  <si>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</si>
  <si>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</si>
  <si>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</si>
  <si>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</si>
  <si>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</si>
  <si>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</si>
  <si>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</si>
  <si>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</si>
  <si>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</si>
  <si>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</si>
  <si>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</si>
  <si>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</si>
  <si>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</si>
  <si>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</si>
  <si>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</si>
  <si>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</si>
  <si>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</si>
  <si>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</si>
  <si>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</si>
  <si>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</si>
  <si>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</si>
  <si>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</si>
  <si>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</si>
  <si>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</si>
  <si>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</si>
  <si>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</si>
  <si>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</si>
  <si>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</si>
  <si>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</si>
  <si>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</si>
  <si>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</si>
  <si>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</si>
  <si>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</si>
  <si>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</si>
  <si>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</si>
  <si>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</si>
  <si>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</si>
  <si>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</si>
  <si>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</si>
  <si>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</si>
  <si>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</si>
  <si>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</si>
  <si>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</si>
  <si>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</si>
  <si>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</si>
  <si>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</si>
  <si>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</si>
  <si>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</si>
  <si>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</si>
  <si>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</si>
  <si>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</si>
  <si>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</si>
  <si>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</si>
  <si>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</si>
  <si>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</si>
  <si>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</si>
  <si>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</si>
  <si>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</si>
  <si>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</si>
  <si>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</si>
  <si>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</si>
  <si>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</si>
  <si>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</si>
  <si>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</si>
  <si>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</si>
  <si>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</si>
  <si>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</si>
  <si>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</si>
  <si>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</si>
  <si>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</si>
  <si>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</si>
  <si>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</si>
  <si>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</si>
  <si>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</si>
  <si>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</si>
  <si>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</si>
  <si>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</si>
  <si>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</si>
  <si>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</si>
  <si>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</si>
  <si>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</si>
  <si>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</si>
  <si>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</si>
  <si>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</si>
  <si>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</si>
  <si>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</si>
  <si>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</si>
  <si>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</si>
  <si>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</si>
  <si>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</si>
  <si>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</si>
  <si>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</si>
  <si>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</si>
  <si>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</si>
  <si>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</si>
  <si>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</si>
  <si>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</si>
  <si>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</si>
  <si>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</si>
  <si>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</si>
  <si>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</si>
  <si>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</si>
  <si>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</si>
  <si>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</si>
  <si>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</si>
  <si>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</si>
  <si>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</si>
  <si>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</si>
  <si>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</si>
  <si>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</si>
  <si>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</si>
  <si>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</si>
  <si>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</si>
  <si>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</si>
  <si>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</si>
  <si>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</si>
  <si>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</si>
  <si>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</si>
  <si>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</si>
  <si>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</si>
  <si>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</si>
  <si>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</si>
  <si>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</si>
  <si>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</si>
  <si>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</si>
  <si>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</si>
  <si>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</si>
  <si>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</si>
  <si>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</si>
  <si>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</si>
  <si>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</si>
  <si>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</si>
  <si>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</si>
  <si>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</si>
  <si>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</si>
  <si>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</si>
  <si>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</si>
  <si>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</si>
  <si>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</si>
  <si>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</si>
  <si>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</si>
  <si>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</si>
  <si>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</si>
  <si>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</si>
  <si>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</si>
  <si>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</si>
  <si>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</si>
  <si>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</si>
  <si>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</si>
  <si>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</si>
  <si>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</si>
  <si>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</si>
  <si>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</si>
  <si>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</si>
  <si>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</si>
  <si>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</si>
  <si>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</si>
  <si>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</si>
  <si>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</si>
  <si>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</si>
  <si>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</si>
  <si>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</si>
  <si>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</si>
  <si>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</si>
  <si>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</si>
  <si>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</si>
  <si>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</si>
  <si>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</si>
  <si>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</si>
  <si>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</si>
  <si>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</si>
  <si>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</si>
  <si>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</si>
  <si>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</si>
  <si>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</si>
  <si>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</si>
  <si>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</si>
  <si>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</si>
  <si>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</si>
  <si>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</si>
  <si>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</si>
  <si>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</si>
  <si>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</si>
  <si>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</si>
  <si>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</si>
  <si>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</si>
  <si>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</si>
  <si>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</si>
  <si>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</si>
  <si>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</si>
  <si>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</si>
  <si>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</si>
  <si>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</si>
  <si>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</si>
  <si>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</si>
  <si>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</si>
  <si>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</si>
  <si>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</si>
  <si>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</si>
  <si>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</si>
  <si>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</si>
  <si>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</si>
  <si>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</si>
  <si>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</si>
  <si>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</si>
  <si>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</si>
  <si>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</si>
  <si>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</si>
  <si>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</si>
  <si>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</si>
  <si>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</si>
  <si>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</si>
  <si>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</si>
  <si>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</si>
  <si>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</si>
  <si>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</si>
  <si>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</si>
  <si>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</si>
  <si>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</si>
  <si>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</si>
  <si>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</si>
  <si>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</si>
  <si>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</si>
  <si>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</si>
  <si>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</si>
  <si>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</si>
  <si>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</si>
  <si>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</si>
  <si>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</si>
  <si>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</si>
  <si>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</si>
  <si>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</si>
  <si>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</si>
  <si>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</si>
  <si>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</si>
  <si>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</si>
  <si>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</si>
  <si>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</si>
  <si>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</si>
  <si>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</si>
  <si>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</si>
  <si>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</si>
  <si>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</si>
  <si>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</si>
  <si>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</si>
  <si>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</si>
  <si>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</si>
  <si>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</si>
  <si>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</si>
  <si>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</si>
  <si>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</si>
  <si>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</si>
  <si>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</si>
  <si>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</si>
  <si>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</si>
  <si>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</si>
  <si>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</si>
  <si>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</si>
  <si>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</si>
  <si>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</si>
  <si>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</si>
  <si>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</si>
  <si>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</si>
  <si>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</si>
  <si>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</si>
  <si>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</si>
  <si>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</si>
  <si>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</si>
  <si>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</si>
  <si>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</si>
  <si>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</si>
  <si>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</si>
  <si>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</si>
  <si>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</si>
  <si>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</si>
  <si>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</si>
  <si>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</si>
  <si>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</si>
  <si>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</si>
  <si>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</si>
  <si>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</si>
  <si>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</si>
  <si>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</si>
  <si>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</si>
  <si>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</si>
  <si>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</si>
  <si>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</si>
  <si>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</si>
  <si>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</si>
  <si>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</si>
  <si>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</si>
  <si>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</si>
  <si>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</si>
  <si>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</si>
  <si>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</si>
  <si>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</si>
  <si>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</si>
  <si>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</si>
  <si>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</si>
  <si>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</si>
  <si>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</si>
  <si>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</si>
  <si>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</si>
  <si>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</si>
  <si>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</si>
  <si>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</si>
  <si>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</si>
  <si>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</si>
  <si>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</si>
  <si>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</si>
  <si>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</si>
  <si>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</si>
  <si>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</si>
  <si>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</si>
  <si>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</si>
  <si>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</si>
  <si>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</si>
  <si>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</si>
  <si>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</si>
  <si>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</si>
  <si>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</si>
  <si>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</si>
  <si>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</si>
  <si>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</si>
  <si>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</si>
  <si>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</si>
  <si>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</si>
  <si>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</si>
  <si>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</si>
  <si>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</si>
  <si>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</si>
  <si>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</si>
  <si>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</si>
  <si>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</si>
  <si>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</si>
  <si>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</si>
  <si>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</si>
  <si>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</si>
  <si>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</si>
  <si>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</si>
  <si>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</si>
  <si>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</si>
  <si>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</si>
  <si>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</si>
  <si>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</si>
  <si>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</si>
  <si>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</si>
  <si>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</si>
  <si>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</si>
  <si>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</si>
  <si>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</si>
  <si>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</si>
  <si>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</si>
  <si>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</si>
  <si>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</si>
  <si>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</si>
  <si>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</si>
  <si>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</si>
  <si>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</si>
  <si>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</si>
  <si>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</si>
  <si>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</si>
  <si>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</si>
  <si>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</si>
  <si>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</si>
  <si>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</si>
  <si>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</si>
  <si>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</si>
  <si>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</si>
  <si>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</si>
  <si>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</si>
  <si>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</si>
  <si>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</si>
  <si>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</si>
  <si>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</si>
  <si>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</si>
  <si>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</si>
  <si>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</si>
  <si>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</si>
  <si>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</si>
  <si>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</si>
  <si>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</si>
  <si>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</si>
  <si>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</si>
  <si>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</si>
  <si>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</si>
  <si>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</si>
  <si>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</si>
  <si>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</si>
  <si>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</si>
  <si>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</si>
  <si>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</si>
  <si>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</si>
  <si>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</si>
  <si>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</si>
  <si>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</si>
  <si>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</si>
  <si>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</si>
  <si>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</si>
  <si>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</si>
  <si>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</si>
  <si>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</si>
  <si>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</si>
  <si>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</si>
  <si>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</si>
  <si>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</si>
  <si>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</si>
  <si>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</si>
  <si>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</si>
  <si>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</si>
  <si>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</si>
  <si>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</si>
  <si>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</si>
  <si>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</si>
  <si>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</si>
  <si>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</si>
  <si>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</si>
  <si>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</si>
  <si>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</si>
  <si>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</si>
  <si>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</si>
  <si>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</si>
  <si>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</si>
  <si>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</si>
  <si>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</si>
  <si>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</si>
  <si>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</si>
  <si>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</si>
  <si>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</si>
  <si>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</si>
  <si>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</si>
  <si>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</si>
  <si>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</si>
  <si>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</si>
  <si>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</si>
  <si>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</si>
  <si>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</si>
  <si>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</si>
  <si>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</si>
  <si>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</si>
  <si>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</si>
  <si>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</si>
  <si>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</si>
  <si>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</si>
  <si>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</si>
  <si>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</si>
  <si>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</si>
  <si>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</si>
  <si>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</si>
  <si>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</si>
  <si>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</si>
  <si>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</si>
  <si>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</si>
  <si>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</si>
  <si>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</si>
  <si>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</si>
  <si>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</si>
  <si>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</si>
  <si>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</si>
  <si>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</si>
  <si>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</si>
  <si>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</si>
  <si>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</si>
  <si>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</si>
  <si>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</si>
  <si>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</si>
  <si>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</si>
  <si>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</si>
  <si>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</si>
  <si>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</si>
  <si>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</si>
  <si>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</si>
  <si>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</si>
  <si>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</si>
  <si>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</si>
  <si>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</si>
  <si>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</si>
  <si>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</si>
  <si>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</si>
  <si>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</si>
  <si>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</si>
  <si>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</si>
  <si>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</si>
  <si>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</si>
  <si>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</si>
  <si>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</si>
  <si>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</si>
  <si>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</si>
  <si>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</si>
  <si>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</si>
  <si>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</si>
  <si>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</si>
  <si>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</si>
  <si>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</si>
  <si>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</si>
  <si>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</si>
  <si>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</si>
  <si>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</si>
  <si>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</si>
  <si>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</si>
  <si>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</si>
  <si>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</si>
  <si>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</si>
  <si>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</si>
  <si>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</si>
  <si>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</si>
  <si>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</si>
  <si>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</si>
  <si>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</si>
  <si>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</si>
  <si>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</si>
  <si>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</si>
  <si>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</si>
  <si>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</si>
  <si>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</si>
  <si>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</si>
  <si>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</si>
  <si>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</si>
  <si>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</si>
  <si>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</si>
  <si>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</si>
  <si>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</si>
  <si>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</si>
  <si>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</si>
  <si>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</si>
  <si>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</si>
  <si>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</si>
  <si>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</si>
  <si>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</si>
  <si>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</si>
  <si>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</si>
  <si>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</si>
  <si>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</si>
  <si>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</si>
  <si>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</si>
  <si>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</si>
  <si>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</si>
  <si>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</si>
  <si>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</si>
  <si>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</si>
  <si>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</si>
  <si>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</si>
  <si>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</si>
  <si>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</si>
  <si>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</si>
  <si>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</si>
  <si>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</si>
  <si>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</si>
  <si>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</si>
  <si>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</si>
  <si>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</si>
  <si>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</si>
  <si>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</si>
  <si>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</si>
  <si>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</si>
  <si>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</si>
  <si>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</si>
  <si>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</si>
  <si>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</si>
  <si>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</si>
  <si>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</si>
  <si>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</si>
  <si>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</si>
  <si>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</si>
  <si>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</si>
  <si>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</si>
  <si>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</si>
  <si>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</si>
  <si>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</si>
  <si>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</si>
  <si>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</si>
  <si>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</si>
  <si>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</si>
  <si>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</si>
  <si>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</si>
  <si>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</si>
  <si>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</si>
  <si>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</si>
  <si>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</si>
  <si>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</si>
  <si>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</si>
  <si>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</si>
  <si>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</si>
  <si>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</si>
  <si>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</si>
  <si>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</si>
  <si>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</si>
  <si>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</si>
  <si>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</si>
  <si>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</si>
  <si>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</si>
  <si>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</si>
  <si>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</si>
  <si>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</si>
  <si>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</si>
  <si>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</si>
  <si>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</si>
  <si>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</si>
  <si>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</si>
  <si>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</si>
  <si>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</si>
  <si>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</si>
  <si>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</si>
  <si>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</si>
  <si>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</si>
  <si>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</si>
  <si>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</si>
  <si>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</si>
  <si>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</si>
  <si>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</si>
  <si>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</si>
  <si>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</si>
  <si>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</si>
  <si>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</si>
  <si>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</si>
  <si>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</si>
  <si>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</si>
  <si>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</si>
  <si>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</si>
  <si>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</si>
  <si>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</si>
  <si>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</si>
  <si>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</si>
  <si>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</si>
  <si>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</si>
  <si>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</si>
  <si>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</si>
  <si>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</si>
  <si>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</si>
  <si>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</si>
  <si>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</si>
  <si>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</si>
  <si>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</si>
  <si>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</si>
  <si>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</si>
  <si>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</si>
  <si>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</si>
  <si>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</si>
  <si>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</si>
  <si>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</si>
  <si>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</si>
  <si>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</si>
  <si>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</si>
  <si>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</si>
  <si>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</si>
  <si>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</si>
  <si>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</si>
  <si>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</si>
  <si>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</si>
  <si>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</si>
  <si>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</si>
  <si>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</si>
  <si>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</si>
  <si>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</si>
  <si>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</si>
  <si>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</si>
  <si>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</si>
  <si>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</si>
  <si>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</si>
  <si>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</si>
  <si>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</si>
  <si>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</si>
  <si>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</si>
  <si>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</si>
  <si>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</si>
  <si>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</si>
  <si>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</si>
  <si>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</si>
  <si>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</si>
  <si>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</si>
  <si>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</si>
  <si>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</si>
  <si>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</si>
  <si>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</si>
  <si>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</si>
  <si>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</si>
  <si>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</si>
  <si>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</si>
  <si>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</si>
  <si>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</si>
  <si>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</si>
  <si>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</si>
  <si>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</si>
  <si>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</si>
  <si>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</si>
  <si>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</si>
  <si>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</si>
  <si>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</si>
  <si>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</si>
  <si>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</si>
  <si>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</si>
  <si>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</si>
  <si>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</si>
  <si>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</si>
  <si>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</si>
  <si>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</si>
  <si>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</si>
  <si>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</si>
  <si>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</si>
  <si>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</si>
  <si>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</si>
  <si>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</si>
  <si>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</si>
  <si>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</si>
  <si>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</si>
  <si>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</si>
  <si>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</si>
  <si>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</si>
  <si>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</si>
  <si>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</si>
  <si>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</si>
  <si>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</si>
  <si>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</si>
  <si>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</si>
  <si>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</si>
  <si>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</si>
  <si>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</si>
  <si>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</si>
  <si>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</si>
  <si>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</si>
  <si>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</si>
  <si>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</si>
  <si>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</si>
  <si>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</si>
  <si>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</si>
  <si>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</si>
  <si>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</si>
  <si>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</si>
  <si>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</si>
  <si>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</si>
  <si>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</si>
  <si>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</si>
  <si>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</si>
  <si>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</si>
  <si>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</si>
  <si>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</si>
  <si>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</si>
  <si>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</si>
  <si>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</si>
  <si>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</si>
  <si>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</si>
  <si>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</si>
  <si>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</si>
  <si>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</si>
  <si>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</si>
  <si>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</si>
  <si>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</si>
  <si>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</si>
  <si>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</si>
  <si>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</si>
  <si>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</si>
  <si>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</si>
  <si>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</si>
  <si>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</si>
  <si>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</si>
  <si>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</si>
  <si>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</si>
  <si>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</si>
  <si>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</si>
  <si>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</si>
  <si>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</si>
  <si>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</si>
  <si>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</si>
  <si>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</si>
  <si>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</si>
  <si>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</si>
  <si>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</si>
  <si>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</si>
  <si>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</si>
  <si>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</si>
  <si>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</si>
  <si>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</si>
  <si>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</si>
  <si>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</si>
  <si>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</si>
  <si>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</si>
  <si>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</si>
  <si>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</si>
  <si>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</si>
  <si>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</si>
  <si>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</si>
  <si>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</si>
  <si>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</si>
  <si>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</si>
  <si>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</si>
  <si>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</si>
  <si>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</si>
  <si>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</si>
  <si>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</si>
  <si>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</si>
  <si>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</si>
  <si>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</si>
  <si>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</si>
  <si>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</si>
  <si>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</si>
  <si>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</si>
  <si>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</si>
  <si>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</si>
  <si>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</si>
  <si>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</si>
  <si>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</si>
  <si>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</si>
  <si>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</si>
  <si>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</si>
  <si>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</si>
  <si>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</si>
  <si>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</si>
  <si>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</si>
  <si>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</si>
  <si>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</si>
  <si>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</si>
  <si>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</si>
  <si>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</si>
  <si>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</si>
  <si>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</si>
  <si>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</si>
  <si>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</si>
  <si>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</si>
  <si>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</si>
  <si>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</si>
  <si>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</si>
  <si>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</si>
  <si>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</si>
  <si>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</si>
  <si>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</si>
  <si>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</si>
  <si>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</si>
  <si>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</si>
  <si>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</si>
  <si>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</si>
  <si>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</si>
  <si>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</si>
  <si>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</si>
  <si>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</si>
  <si>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</si>
  <si>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</si>
  <si>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</si>
  <si>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</si>
  <si>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</si>
  <si>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</si>
  <si>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</si>
  <si>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</si>
  <si>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</si>
  <si>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</si>
  <si>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</si>
  <si>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</si>
  <si>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</si>
  <si>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</si>
  <si>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</si>
  <si>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</si>
  <si>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</si>
  <si>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</si>
  <si>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</si>
  <si>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</si>
  <si>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</si>
  <si>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</si>
  <si>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</si>
  <si>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</si>
  <si>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</si>
  <si>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</si>
  <si>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</si>
  <si>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</si>
  <si>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</si>
  <si>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</si>
  <si>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</si>
  <si>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</si>
  <si>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</si>
  <si>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</si>
  <si>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</si>
  <si>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</si>
  <si>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</si>
  <si>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</si>
  <si>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</si>
  <si>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</si>
  <si>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</si>
  <si>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</si>
  <si>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</si>
  <si>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</si>
  <si>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</si>
  <si>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</si>
  <si>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</si>
  <si>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</si>
  <si>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</si>
  <si>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</si>
  <si>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</si>
  <si>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</si>
  <si>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</si>
  <si>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</si>
  <si>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</si>
  <si>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</si>
  <si>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</si>
  <si>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</si>
  <si>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</si>
  <si>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</si>
  <si>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</si>
  <si>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</si>
  <si>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</si>
  <si>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</si>
  <si>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</si>
  <si>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</si>
  <si>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</si>
  <si>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</si>
  <si>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</si>
  <si>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</si>
  <si>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</si>
  <si>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</si>
  <si>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</si>
  <si>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</si>
  <si>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</si>
  <si>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</si>
  <si>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</si>
  <si>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</si>
  <si>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</si>
  <si>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</si>
  <si>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</si>
  <si>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</si>
  <si>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</si>
  <si>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</si>
  <si>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</si>
  <si>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</si>
  <si>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</si>
  <si>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</si>
  <si>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</si>
  <si>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</si>
  <si>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</si>
  <si>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</si>
  <si>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</si>
  <si>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</si>
  <si>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</si>
  <si>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</si>
  <si>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</si>
  <si>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</si>
  <si>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</si>
  <si>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</si>
  <si>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</si>
  <si>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</si>
  <si>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</si>
  <si>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</si>
  <si>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</si>
  <si>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</si>
  <si>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</si>
  <si>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</si>
  <si>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</si>
  <si>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</si>
  <si>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</si>
  <si>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</si>
  <si>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</si>
  <si>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</si>
  <si>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</si>
  <si>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</si>
  <si>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</si>
  <si>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</si>
  <si>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</si>
  <si>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</si>
  <si>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</si>
  <si>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</si>
  <si>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</si>
  <si>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</si>
  <si>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</si>
  <si>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</si>
  <si>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</si>
  <si>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</si>
  <si>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</si>
  <si>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</si>
  <si>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</si>
  <si>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</si>
  <si>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</si>
  <si>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</si>
  <si>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</si>
  <si>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</si>
  <si>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</si>
  <si>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</si>
  <si>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</si>
  <si>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</si>
  <si>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</si>
  <si>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</si>
  <si>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</si>
  <si>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</si>
  <si>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</si>
  <si>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</si>
  <si>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</si>
  <si>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</si>
  <si>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</si>
  <si>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</si>
  <si>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</si>
  <si>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</si>
  <si>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</si>
  <si>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</si>
  <si>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</si>
  <si>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</si>
  <si>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</si>
  <si>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</si>
  <si>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</si>
  <si>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</si>
  <si>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</si>
  <si>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</si>
  <si>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</si>
  <si>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</si>
  <si>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</si>
  <si>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</si>
  <si>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</si>
  <si>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</si>
  <si>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</si>
  <si>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</si>
  <si>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</si>
  <si>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</si>
  <si>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</si>
  <si>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</si>
  <si>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</si>
  <si>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</si>
  <si>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</si>
  <si>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</si>
  <si>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</si>
  <si>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</si>
  <si>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</si>
  <si>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</si>
  <si>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</si>
  <si>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</si>
  <si>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</si>
  <si>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</si>
  <si>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</si>
  <si>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</si>
  <si>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</si>
  <si>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</si>
  <si>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</si>
  <si>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</si>
  <si>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</si>
  <si>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</si>
  <si>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</si>
  <si>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</si>
  <si>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</si>
  <si>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</si>
  <si>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</si>
  <si>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</si>
  <si>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</si>
  <si>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</si>
  <si>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</si>
  <si>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</si>
  <si>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</si>
  <si>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</si>
  <si>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</si>
  <si>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</si>
  <si>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</si>
  <si>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</si>
  <si>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</si>
  <si>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</si>
  <si>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</si>
  <si>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</si>
  <si>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</si>
  <si>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</si>
  <si>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</si>
  <si>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</si>
  <si>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</si>
  <si>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</si>
  <si>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</si>
  <si>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</si>
  <si>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</si>
  <si>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</si>
  <si>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</si>
  <si>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</si>
  <si>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</si>
  <si>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</si>
  <si>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</si>
  <si>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</si>
  <si>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</si>
  <si>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</si>
  <si>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</si>
  <si>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</si>
  <si>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</si>
  <si>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</si>
  <si>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</si>
  <si>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</si>
  <si>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</si>
  <si>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</si>
  <si>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</si>
  <si>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</si>
  <si>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</si>
  <si>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</si>
  <si>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</si>
  <si>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</si>
  <si>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</si>
  <si>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</si>
  <si>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</si>
  <si>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</si>
  <si>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</si>
  <si>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</si>
  <si>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</si>
  <si>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</si>
  <si>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</si>
  <si>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</si>
  <si>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</si>
  <si>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</si>
  <si>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</si>
  <si>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</si>
  <si>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</si>
  <si>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</si>
  <si>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</si>
  <si>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</si>
  <si>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</si>
  <si>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</si>
  <si>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</si>
  <si>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</si>
  <si>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</si>
  <si>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</si>
  <si>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</si>
  <si>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</si>
  <si>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</si>
  <si>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</si>
  <si>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</si>
  <si>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</si>
  <si>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</si>
  <si>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</si>
  <si>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</si>
  <si>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</si>
  <si>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</si>
  <si>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</si>
  <si>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</si>
  <si>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</si>
  <si>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</si>
  <si>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</si>
  <si>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</si>
  <si>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</si>
  <si>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</si>
  <si>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</si>
  <si>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</si>
  <si>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</si>
  <si>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</si>
  <si>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</si>
  <si>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</si>
  <si>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</si>
  <si>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</si>
  <si>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</si>
  <si>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</si>
  <si>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</si>
  <si>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</si>
  <si>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</si>
  <si>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</si>
  <si>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</si>
  <si>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</si>
  <si>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</si>
  <si>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</si>
  <si>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</si>
  <si>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</si>
  <si>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</si>
  <si>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</si>
  <si>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</si>
  <si>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</si>
  <si>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</si>
  <si>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</si>
  <si>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Metric</t>
  </si>
  <si>
    <t>Mean</t>
  </si>
  <si>
    <t>Median</t>
  </si>
  <si>
    <t>Std dev</t>
  </si>
  <si>
    <t>Min</t>
  </si>
  <si>
    <t>Max</t>
  </si>
  <si>
    <t>Unitprice</t>
  </si>
  <si>
    <t>itemsincart</t>
  </si>
  <si>
    <t>Totalprice</t>
  </si>
  <si>
    <t>Grand Total</t>
  </si>
  <si>
    <t>Sum of TotalPrice</t>
  </si>
  <si>
    <t>Products</t>
  </si>
  <si>
    <t>Count of OrderID</t>
  </si>
  <si>
    <t>Staus</t>
  </si>
  <si>
    <t>Coupon</t>
  </si>
  <si>
    <t>(blank)</t>
  </si>
  <si>
    <t>Payment</t>
  </si>
  <si>
    <t>2023</t>
  </si>
  <si>
    <t>Qtr1</t>
  </si>
  <si>
    <t>Qtr2</t>
  </si>
  <si>
    <t>Qtr3</t>
  </si>
  <si>
    <t>Qtr4</t>
  </si>
  <si>
    <t>2024</t>
  </si>
  <si>
    <t>2025</t>
  </si>
  <si>
    <t>IQR</t>
  </si>
  <si>
    <t>Lower</t>
  </si>
  <si>
    <t>upper</t>
  </si>
  <si>
    <t>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</si>
</sst>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4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cleaned.xlsx]Trend!PivotTable7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2397929425488481"/>
          <c:w val="0.93888888888888888"/>
          <c:h val="0.58122411781860606"/>
        </c:manualLayout>
      </c:layout>
      <c:lineChart>
        <c:grouping val="standard"/>
        <c:varyColors val="0"/>
        <c:ser>
          <c:idx val="0"/>
          <c:order val="0"/>
          <c:tx>
            <c:strRef>
              <c:f>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Trend!$A$4:$A$17</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Trend!$B$4:$B$17</c:f>
              <c:numCache>
                <c:formatCode>_(* #,##0.00_);_(* \(#,##0.00\);_(* "-"??_);_(@_)</c:formatCode>
                <c:ptCount val="10"/>
                <c:pt idx="0">
                  <c:v>145412.78</c:v>
                </c:pt>
                <c:pt idx="1">
                  <c:v>141088.73999999993</c:v>
                </c:pt>
                <c:pt idx="2">
                  <c:v>126699.47</c:v>
                </c:pt>
                <c:pt idx="3">
                  <c:v>139442.25000000009</c:v>
                </c:pt>
                <c:pt idx="4">
                  <c:v>111468.55</c:v>
                </c:pt>
                <c:pt idx="5">
                  <c:v>145590.79</c:v>
                </c:pt>
                <c:pt idx="6">
                  <c:v>114750.03000000001</c:v>
                </c:pt>
                <c:pt idx="7">
                  <c:v>108426.5</c:v>
                </c:pt>
                <c:pt idx="8">
                  <c:v>103617.60999999997</c:v>
                </c:pt>
                <c:pt idx="9">
                  <c:v>128265.24</c:v>
                </c:pt>
              </c:numCache>
            </c:numRef>
          </c:val>
          <c:smooth val="0"/>
          <c:extLst>
            <c:ext xmlns:c16="http://schemas.microsoft.com/office/drawing/2014/chart" uri="{C3380CC4-5D6E-409C-BE32-E72D297353CC}">
              <c16:uniqueId val="{00000000-B2BC-4CF3-BAF4-C6FCBF685CFB}"/>
            </c:ext>
          </c:extLst>
        </c:ser>
        <c:dLbls>
          <c:showLegendKey val="0"/>
          <c:showVal val="0"/>
          <c:showCatName val="0"/>
          <c:showSerName val="0"/>
          <c:showPercent val="0"/>
          <c:showBubbleSize val="0"/>
        </c:dLbls>
        <c:smooth val="0"/>
        <c:axId val="238473471"/>
        <c:axId val="238467231"/>
      </c:lineChart>
      <c:catAx>
        <c:axId val="23847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467231"/>
        <c:crosses val="autoZero"/>
        <c:auto val="1"/>
        <c:lblAlgn val="ctr"/>
        <c:lblOffset val="100"/>
        <c:noMultiLvlLbl val="0"/>
      </c:catAx>
      <c:valAx>
        <c:axId val="238467231"/>
        <c:scaling>
          <c:orientation val="minMax"/>
        </c:scaling>
        <c:delete val="1"/>
        <c:axPos val="l"/>
        <c:numFmt formatCode="_(* #,##0.00_);_(* \(#,##0.00\);_(* &quot;-&quot;??_);_(@_)" sourceLinked="1"/>
        <c:majorTickMark val="none"/>
        <c:minorTickMark val="none"/>
        <c:tickLblPos val="nextTo"/>
        <c:crossAx val="23847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28575</xdr:colOff>
      <xdr:row>1</xdr:row>
      <xdr:rowOff>4761</xdr:rowOff>
    </xdr:from>
    <xdr:to>
      <xdr:col>11</xdr:col>
      <xdr:colOff>200025</xdr:colOff>
      <xdr:row>20</xdr:row>
      <xdr:rowOff>123824</xdr:rowOff>
    </xdr:to>
    <xdr:graphicFrame macro="">
      <xdr:nvGraphicFramePr>
        <xdr:cNvPr id="4" name="Chart 3">
          <a:extLst>
            <a:ext uri="{FF2B5EF4-FFF2-40B4-BE49-F238E27FC236}">
              <a16:creationId xmlns:a16="http://schemas.microsoft.com/office/drawing/2014/main" id="{723E0E9D-F639-495C-936B-E8D5D580C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314325</xdr:colOff>
      <xdr:row>2</xdr:row>
      <xdr:rowOff>47625</xdr:rowOff>
    </xdr:from>
    <xdr:to>
      <xdr:col>15</xdr:col>
      <xdr:colOff>314325</xdr:colOff>
      <xdr:row>10</xdr:row>
      <xdr:rowOff>38100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2BE6C73E-2A0E-4C20-AFCC-806D9016C5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372475" y="42862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9.55463796296" createdVersion="7" refreshedVersion="7" minRefreshableVersion="3" recordCount="1200" xr:uid="{CF161E84-8D94-44C8-9080-481AA7D304EF}">
  <cacheSource type="worksheet">
    <worksheetSource ref="A1:Q1201" sheet="Dataset for Data Analytics - cl"/>
  </cacheSource>
  <cacheFields count="19">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8" base="1">
        <rangePr groupBy="months" startDate="2023-01-01T00:00:00" endDate="2025-07-01T00:00:00"/>
        <groupItems count="14">
          <s v="&lt;1/1/2023"/>
          <s v="Jan"/>
          <s v="Feb"/>
          <s v="Mar"/>
          <s v="Apr"/>
          <s v="May"/>
          <s v="Jun"/>
          <s v="Jul"/>
          <s v="Aug"/>
          <s v="Sep"/>
          <s v="Oct"/>
          <s v="Nov"/>
          <s v="Dec"/>
          <s v="&gt;7/1/2025"/>
        </groupItems>
      </fieldGroup>
    </cacheField>
    <cacheField name="Year" numFmtId="0">
      <sharedItems containsSemiMixedTypes="0" containsString="0" containsNumber="1" containsInteger="1" minValue="2023" maxValue="2025" count="3">
        <n v="2023"/>
        <n v="2024"/>
        <n v="2025"/>
      </sharedItems>
    </cacheField>
    <cacheField name="Quarter" numFmtId="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TotalRevenue" numFmtId="0">
      <sharedItems containsSemiMixedTypes="0" containsString="0" containsNumber="1" minValue="11.39" maxValue="3456.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010551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s v="Q1"/>
    <s v="C72649"/>
    <x v="0"/>
    <n v="5"/>
    <n v="570.62"/>
    <s v="928 Main St"/>
    <x v="0"/>
    <x v="0"/>
    <s v="TRK37947903"/>
    <n v="7"/>
    <x v="0"/>
    <x v="0"/>
    <n v="2853.1"/>
    <n v="2853.1"/>
  </r>
  <r>
    <x v="1"/>
    <x v="1"/>
    <x v="1"/>
    <s v="Q3"/>
    <s v="C75739"/>
    <x v="1"/>
    <n v="2"/>
    <n v="151.35"/>
    <s v="823 Main St"/>
    <x v="1"/>
    <x v="0"/>
    <s v="TRK91186779"/>
    <n v="3"/>
    <x v="0"/>
    <x v="1"/>
    <n v="302.7"/>
    <n v="302.7"/>
  </r>
  <r>
    <x v="2"/>
    <x v="2"/>
    <x v="1"/>
    <s v="Q1"/>
    <s v="C81728"/>
    <x v="2"/>
    <n v="5"/>
    <n v="550.67999999999995"/>
    <s v="512 Main St"/>
    <x v="2"/>
    <x v="1"/>
    <s v="TRK42903982"/>
    <n v="8"/>
    <x v="1"/>
    <x v="2"/>
    <n v="2753.4"/>
    <n v="2753.4"/>
  </r>
  <r>
    <x v="3"/>
    <x v="3"/>
    <x v="0"/>
    <s v="Q4"/>
    <s v="C33540"/>
    <x v="3"/>
    <n v="1"/>
    <n v="273.19"/>
    <s v="275 Main St"/>
    <x v="0"/>
    <x v="2"/>
    <s v="TRK62788070"/>
    <n v="5"/>
    <x v="0"/>
    <x v="3"/>
    <n v="273.19"/>
    <n v="273.19"/>
  </r>
  <r>
    <x v="4"/>
    <x v="4"/>
    <x v="2"/>
    <s v="Q2"/>
    <s v="C81840"/>
    <x v="4"/>
    <n v="4"/>
    <n v="626.01"/>
    <s v="668 Main St"/>
    <x v="1"/>
    <x v="3"/>
    <s v="TRK29241424"/>
    <n v="8"/>
    <x v="0"/>
    <x v="2"/>
    <n v="2504.04"/>
    <n v="2504.04"/>
  </r>
  <r>
    <x v="5"/>
    <x v="5"/>
    <x v="0"/>
    <s v="Q4"/>
    <s v="C37249"/>
    <x v="1"/>
    <n v="2"/>
    <n v="245.86"/>
    <s v="934 Main St"/>
    <x v="2"/>
    <x v="0"/>
    <s v="TRK72976927"/>
    <n v="4"/>
    <x v="0"/>
    <x v="0"/>
    <n v="491.72"/>
    <n v="491.72"/>
  </r>
  <r>
    <x v="6"/>
    <x v="6"/>
    <x v="2"/>
    <s v="Q2"/>
    <s v="C83492"/>
    <x v="5"/>
    <n v="1"/>
    <n v="664.42"/>
    <s v="986 Main St"/>
    <x v="3"/>
    <x v="2"/>
    <s v="TRK96417362"/>
    <n v="6"/>
    <x v="0"/>
    <x v="3"/>
    <n v="664.42"/>
    <n v="664.42"/>
  </r>
  <r>
    <x v="7"/>
    <x v="7"/>
    <x v="0"/>
    <s v="Q2"/>
    <s v="C41460"/>
    <x v="0"/>
    <n v="5"/>
    <n v="149.55000000000001"/>
    <s v="706 Main St"/>
    <x v="4"/>
    <x v="0"/>
    <s v="TRK78809193"/>
    <n v="9"/>
    <x v="1"/>
    <x v="3"/>
    <n v="747.75"/>
    <n v="747.75"/>
  </r>
  <r>
    <x v="8"/>
    <x v="8"/>
    <x v="2"/>
    <s v="Q2"/>
    <s v="C26817"/>
    <x v="1"/>
    <n v="2"/>
    <n v="134.28"/>
    <s v="904 Main St"/>
    <x v="3"/>
    <x v="1"/>
    <s v="TRK61042692"/>
    <n v="2"/>
    <x v="2"/>
    <x v="2"/>
    <n v="268.56"/>
    <n v="268.56"/>
  </r>
  <r>
    <x v="9"/>
    <x v="9"/>
    <x v="0"/>
    <s v="Q4"/>
    <s v="C31946"/>
    <x v="6"/>
    <n v="4"/>
    <n v="509.38"/>
    <s v="102 Main St"/>
    <x v="2"/>
    <x v="0"/>
    <s v="TRK33478363"/>
    <n v="6"/>
    <x v="0"/>
    <x v="4"/>
    <n v="2037.52"/>
    <n v="2037.52"/>
  </r>
  <r>
    <x v="10"/>
    <x v="10"/>
    <x v="0"/>
    <s v="Q4"/>
    <s v="C43443"/>
    <x v="2"/>
    <n v="5"/>
    <n v="625.97"/>
    <s v="333 Main St"/>
    <x v="2"/>
    <x v="2"/>
    <s v="TRK98859248"/>
    <n v="9"/>
    <x v="3"/>
    <x v="0"/>
    <n v="3129.85"/>
    <n v="3129.85"/>
  </r>
  <r>
    <x v="11"/>
    <x v="11"/>
    <x v="1"/>
    <s v="Q1"/>
    <s v="C93861"/>
    <x v="0"/>
    <n v="3"/>
    <n v="49.14"/>
    <s v="831 Main St"/>
    <x v="1"/>
    <x v="2"/>
    <s v="TRK48234646"/>
    <n v="7"/>
    <x v="0"/>
    <x v="2"/>
    <n v="147.41999999999999"/>
    <n v="147.41999999999999"/>
  </r>
  <r>
    <x v="12"/>
    <x v="12"/>
    <x v="1"/>
    <s v="Q4"/>
    <s v="C38785"/>
    <x v="0"/>
    <n v="2"/>
    <n v="180.5"/>
    <s v="179 Main St"/>
    <x v="0"/>
    <x v="4"/>
    <s v="TRK20419991"/>
    <n v="6"/>
    <x v="1"/>
    <x v="1"/>
    <n v="361"/>
    <n v="361"/>
  </r>
  <r>
    <x v="13"/>
    <x v="13"/>
    <x v="0"/>
    <s v="Q3"/>
    <s v="C88348"/>
    <x v="5"/>
    <n v="3"/>
    <n v="201.49"/>
    <s v="903 Main St"/>
    <x v="2"/>
    <x v="2"/>
    <s v="TRK81913874"/>
    <n v="4"/>
    <x v="1"/>
    <x v="3"/>
    <n v="604.47"/>
    <n v="604.47"/>
  </r>
  <r>
    <x v="14"/>
    <x v="14"/>
    <x v="0"/>
    <s v="Q1"/>
    <s v="C98474"/>
    <x v="2"/>
    <n v="2"/>
    <n v="393.33"/>
    <s v="980 Main St"/>
    <x v="0"/>
    <x v="4"/>
    <s v="TRK79186539"/>
    <n v="3"/>
    <x v="0"/>
    <x v="0"/>
    <n v="786.66"/>
    <n v="786.66"/>
  </r>
  <r>
    <x v="15"/>
    <x v="15"/>
    <x v="0"/>
    <s v="Q3"/>
    <s v="C39416"/>
    <x v="4"/>
    <n v="1"/>
    <n v="473.96"/>
    <s v="942 Main St"/>
    <x v="4"/>
    <x v="3"/>
    <s v="TRK54930938"/>
    <n v="3"/>
    <x v="2"/>
    <x v="4"/>
    <n v="473.96"/>
    <n v="473.96"/>
  </r>
  <r>
    <x v="16"/>
    <x v="16"/>
    <x v="0"/>
    <s v="Q1"/>
    <s v="C28976"/>
    <x v="4"/>
    <n v="2"/>
    <n v="533.80999999999995"/>
    <s v="914 Main St"/>
    <x v="2"/>
    <x v="4"/>
    <s v="TRK13194259"/>
    <n v="3"/>
    <x v="1"/>
    <x v="2"/>
    <n v="1067.6199999999999"/>
    <n v="1067.6199999999999"/>
  </r>
  <r>
    <x v="17"/>
    <x v="17"/>
    <x v="1"/>
    <s v="Q1"/>
    <s v="C60672"/>
    <x v="2"/>
    <n v="1"/>
    <n v="423.4"/>
    <s v="382 Main St"/>
    <x v="0"/>
    <x v="0"/>
    <s v="TRK11972116"/>
    <n v="3"/>
    <x v="2"/>
    <x v="1"/>
    <n v="423.4"/>
    <n v="423.4"/>
  </r>
  <r>
    <x v="18"/>
    <x v="18"/>
    <x v="2"/>
    <s v="Q1"/>
    <s v="C84329"/>
    <x v="6"/>
    <n v="1"/>
    <n v="431.44"/>
    <s v="891 Main St"/>
    <x v="3"/>
    <x v="4"/>
    <s v="TRK65191045"/>
    <n v="3"/>
    <x v="0"/>
    <x v="3"/>
    <n v="431.44"/>
    <n v="431.44"/>
  </r>
  <r>
    <x v="19"/>
    <x v="19"/>
    <x v="0"/>
    <s v="Q1"/>
    <s v="C14552"/>
    <x v="0"/>
    <n v="5"/>
    <n v="224"/>
    <s v="273 Main St"/>
    <x v="4"/>
    <x v="2"/>
    <s v="TRK59101365"/>
    <n v="9"/>
    <x v="0"/>
    <x v="4"/>
    <n v="1120"/>
    <n v="1120"/>
  </r>
  <r>
    <x v="20"/>
    <x v="20"/>
    <x v="0"/>
    <s v="Q2"/>
    <s v="C54829"/>
    <x v="3"/>
    <n v="5"/>
    <n v="62.51"/>
    <s v="587 Main St"/>
    <x v="4"/>
    <x v="4"/>
    <s v="TRK16718651"/>
    <n v="9"/>
    <x v="3"/>
    <x v="0"/>
    <n v="312.55"/>
    <n v="312.55"/>
  </r>
  <r>
    <x v="21"/>
    <x v="21"/>
    <x v="1"/>
    <s v="Q4"/>
    <s v="C99023"/>
    <x v="0"/>
    <n v="4"/>
    <n v="342.95"/>
    <s v="569 Main St"/>
    <x v="4"/>
    <x v="3"/>
    <s v="TRK52646983"/>
    <n v="6"/>
    <x v="2"/>
    <x v="4"/>
    <n v="1371.8"/>
    <n v="1371.8"/>
  </r>
  <r>
    <x v="22"/>
    <x v="22"/>
    <x v="0"/>
    <s v="Q1"/>
    <s v="C34416"/>
    <x v="0"/>
    <n v="2"/>
    <n v="49.62"/>
    <s v="633 Main St"/>
    <x v="1"/>
    <x v="4"/>
    <s v="TRK75937350"/>
    <n v="2"/>
    <x v="0"/>
    <x v="4"/>
    <n v="99.24"/>
    <n v="99.24"/>
  </r>
  <r>
    <x v="23"/>
    <x v="23"/>
    <x v="2"/>
    <s v="Q2"/>
    <s v="C42372"/>
    <x v="1"/>
    <n v="4"/>
    <n v="273.25"/>
    <s v="755 Main St"/>
    <x v="0"/>
    <x v="1"/>
    <s v="TRK36168083"/>
    <n v="5"/>
    <x v="1"/>
    <x v="1"/>
    <n v="1093"/>
    <n v="1093"/>
  </r>
  <r>
    <x v="24"/>
    <x v="24"/>
    <x v="1"/>
    <s v="Q4"/>
    <s v="C17470"/>
    <x v="5"/>
    <n v="2"/>
    <n v="230.95"/>
    <s v="956 Main St"/>
    <x v="1"/>
    <x v="3"/>
    <s v="TRK28775057"/>
    <n v="3"/>
    <x v="3"/>
    <x v="1"/>
    <n v="461.9"/>
    <n v="461.9"/>
  </r>
  <r>
    <x v="25"/>
    <x v="25"/>
    <x v="1"/>
    <s v="Q3"/>
    <s v="C42577"/>
    <x v="0"/>
    <n v="1"/>
    <n v="399.98"/>
    <s v="709 Main St"/>
    <x v="0"/>
    <x v="3"/>
    <s v="TRK69423327"/>
    <n v="3"/>
    <x v="3"/>
    <x v="2"/>
    <n v="399.98"/>
    <n v="399.98"/>
  </r>
  <r>
    <x v="26"/>
    <x v="26"/>
    <x v="1"/>
    <s v="Q1"/>
    <s v="C21944"/>
    <x v="5"/>
    <n v="5"/>
    <n v="59.55"/>
    <s v="296 Main St"/>
    <x v="1"/>
    <x v="3"/>
    <s v="TRK80276812"/>
    <n v="6"/>
    <x v="2"/>
    <x v="1"/>
    <n v="297.75"/>
    <n v="297.75"/>
  </r>
  <r>
    <x v="27"/>
    <x v="27"/>
    <x v="1"/>
    <s v="Q1"/>
    <s v="C97593"/>
    <x v="4"/>
    <n v="1"/>
    <n v="472.74"/>
    <s v="881 Main St"/>
    <x v="1"/>
    <x v="0"/>
    <s v="TRK89117573"/>
    <n v="6"/>
    <x v="3"/>
    <x v="4"/>
    <n v="472.74"/>
    <n v="472.74"/>
  </r>
  <r>
    <x v="28"/>
    <x v="9"/>
    <x v="0"/>
    <s v="Q4"/>
    <s v="C59823"/>
    <x v="1"/>
    <n v="4"/>
    <n v="160.07"/>
    <s v="568 Main St"/>
    <x v="1"/>
    <x v="4"/>
    <s v="TRK65895539"/>
    <n v="5"/>
    <x v="2"/>
    <x v="2"/>
    <n v="640.28"/>
    <n v="640.28"/>
  </r>
  <r>
    <x v="29"/>
    <x v="28"/>
    <x v="1"/>
    <s v="Q3"/>
    <s v="C33260"/>
    <x v="6"/>
    <n v="3"/>
    <n v="423.53"/>
    <s v="930 Main St"/>
    <x v="2"/>
    <x v="3"/>
    <s v="TRK59744090"/>
    <n v="6"/>
    <x v="0"/>
    <x v="1"/>
    <n v="1270.5899999999999"/>
    <n v="1270.5899999999999"/>
  </r>
  <r>
    <x v="30"/>
    <x v="29"/>
    <x v="2"/>
    <s v="Q1"/>
    <s v="C44267"/>
    <x v="0"/>
    <n v="2"/>
    <n v="426.7"/>
    <s v="895 Main St"/>
    <x v="1"/>
    <x v="4"/>
    <s v="TRK54751444"/>
    <n v="5"/>
    <x v="0"/>
    <x v="1"/>
    <n v="853.4"/>
    <n v="853.4"/>
  </r>
  <r>
    <x v="31"/>
    <x v="30"/>
    <x v="0"/>
    <s v="Q2"/>
    <s v="C26445"/>
    <x v="3"/>
    <n v="3"/>
    <n v="500.08"/>
    <s v="996 Main St"/>
    <x v="0"/>
    <x v="2"/>
    <s v="TRK31229981"/>
    <n v="6"/>
    <x v="2"/>
    <x v="3"/>
    <n v="1500.24"/>
    <n v="1500.24"/>
  </r>
  <r>
    <x v="32"/>
    <x v="31"/>
    <x v="0"/>
    <s v="Q2"/>
    <s v="C12388"/>
    <x v="2"/>
    <n v="5"/>
    <n v="536.72"/>
    <s v="830 Main St"/>
    <x v="4"/>
    <x v="3"/>
    <s v="TRK99261395"/>
    <n v="10"/>
    <x v="2"/>
    <x v="2"/>
    <n v="2683.6"/>
    <n v="2683.6"/>
  </r>
  <r>
    <x v="33"/>
    <x v="32"/>
    <x v="0"/>
    <s v="Q2"/>
    <s v="C52184"/>
    <x v="3"/>
    <n v="1"/>
    <n v="162.77000000000001"/>
    <s v="912 Main St"/>
    <x v="1"/>
    <x v="1"/>
    <s v="TRK73312471"/>
    <n v="4"/>
    <x v="3"/>
    <x v="3"/>
    <n v="162.77000000000001"/>
    <n v="162.77000000000001"/>
  </r>
  <r>
    <x v="34"/>
    <x v="33"/>
    <x v="0"/>
    <s v="Q1"/>
    <s v="C67195"/>
    <x v="3"/>
    <n v="4"/>
    <n v="576.52"/>
    <s v="926 Main St"/>
    <x v="2"/>
    <x v="4"/>
    <s v="TRK55467915"/>
    <n v="5"/>
    <x v="3"/>
    <x v="3"/>
    <n v="2306.08"/>
    <n v="2306.08"/>
  </r>
  <r>
    <x v="35"/>
    <x v="34"/>
    <x v="1"/>
    <s v="Q4"/>
    <s v="C50304"/>
    <x v="0"/>
    <n v="2"/>
    <n v="465.15"/>
    <s v="128 Main St"/>
    <x v="1"/>
    <x v="0"/>
    <s v="TRK46850888"/>
    <n v="2"/>
    <x v="0"/>
    <x v="3"/>
    <n v="930.3"/>
    <n v="930.3"/>
  </r>
  <r>
    <x v="36"/>
    <x v="4"/>
    <x v="2"/>
    <s v="Q2"/>
    <s v="C59337"/>
    <x v="5"/>
    <n v="2"/>
    <n v="534.42999999999995"/>
    <s v="465 Main St"/>
    <x v="0"/>
    <x v="4"/>
    <s v="TRK50961250"/>
    <n v="5"/>
    <x v="2"/>
    <x v="3"/>
    <n v="1068.8599999999999"/>
    <n v="1068.8599999999999"/>
  </r>
  <r>
    <x v="37"/>
    <x v="35"/>
    <x v="1"/>
    <s v="Q4"/>
    <s v="C10054"/>
    <x v="5"/>
    <n v="2"/>
    <n v="76.739999999999995"/>
    <s v="409 Main St"/>
    <x v="4"/>
    <x v="2"/>
    <s v="TRK94005261"/>
    <n v="7"/>
    <x v="0"/>
    <x v="0"/>
    <n v="153.47999999999999"/>
    <n v="153.47999999999999"/>
  </r>
  <r>
    <x v="38"/>
    <x v="36"/>
    <x v="1"/>
    <s v="Q4"/>
    <s v="C15924"/>
    <x v="5"/>
    <n v="1"/>
    <n v="245.89"/>
    <s v="549 Main St"/>
    <x v="0"/>
    <x v="3"/>
    <s v="TRK14835975"/>
    <n v="3"/>
    <x v="0"/>
    <x v="4"/>
    <n v="245.89"/>
    <n v="245.89"/>
  </r>
  <r>
    <x v="39"/>
    <x v="37"/>
    <x v="2"/>
    <s v="Q1"/>
    <s v="C96664"/>
    <x v="4"/>
    <n v="3"/>
    <n v="256.45999999999998"/>
    <s v="666 Main St"/>
    <x v="2"/>
    <x v="3"/>
    <s v="TRK85508960"/>
    <n v="4"/>
    <x v="0"/>
    <x v="1"/>
    <n v="769.38"/>
    <n v="769.38"/>
  </r>
  <r>
    <x v="40"/>
    <x v="38"/>
    <x v="0"/>
    <s v="Q3"/>
    <s v="C84766"/>
    <x v="6"/>
    <n v="2"/>
    <n v="344.02"/>
    <s v="267 Main St"/>
    <x v="1"/>
    <x v="3"/>
    <s v="TRK78967923"/>
    <n v="4"/>
    <x v="1"/>
    <x v="0"/>
    <n v="688.04"/>
    <n v="688.04"/>
  </r>
  <r>
    <x v="41"/>
    <x v="39"/>
    <x v="0"/>
    <s v="Q4"/>
    <s v="C20212"/>
    <x v="0"/>
    <n v="3"/>
    <n v="611.45000000000005"/>
    <s v="657 Main St"/>
    <x v="3"/>
    <x v="4"/>
    <s v="TRK69733327"/>
    <n v="4"/>
    <x v="1"/>
    <x v="0"/>
    <n v="1834.35"/>
    <n v="1834.35"/>
  </r>
  <r>
    <x v="42"/>
    <x v="40"/>
    <x v="1"/>
    <s v="Q2"/>
    <s v="C28712"/>
    <x v="4"/>
    <n v="2"/>
    <n v="151.66"/>
    <s v="980 Main St"/>
    <x v="4"/>
    <x v="1"/>
    <s v="TRK40772558"/>
    <n v="6"/>
    <x v="2"/>
    <x v="0"/>
    <n v="303.32"/>
    <n v="303.32"/>
  </r>
  <r>
    <x v="43"/>
    <x v="41"/>
    <x v="0"/>
    <s v="Q4"/>
    <s v="C60572"/>
    <x v="3"/>
    <n v="3"/>
    <n v="499.21"/>
    <s v="871 Main St"/>
    <x v="1"/>
    <x v="1"/>
    <s v="TRK20351666"/>
    <n v="8"/>
    <x v="2"/>
    <x v="0"/>
    <n v="1497.63"/>
    <n v="1497.63"/>
  </r>
  <r>
    <x v="44"/>
    <x v="42"/>
    <x v="2"/>
    <s v="Q2"/>
    <s v="C73225"/>
    <x v="1"/>
    <n v="2"/>
    <n v="550.17999999999995"/>
    <s v="996 Main St"/>
    <x v="3"/>
    <x v="2"/>
    <s v="TRK73848522"/>
    <n v="3"/>
    <x v="1"/>
    <x v="1"/>
    <n v="1100.3599999999999"/>
    <n v="1100.3599999999999"/>
  </r>
  <r>
    <x v="45"/>
    <x v="43"/>
    <x v="1"/>
    <s v="Q1"/>
    <s v="C17388"/>
    <x v="3"/>
    <n v="1"/>
    <n v="317.25"/>
    <s v="157 Main St"/>
    <x v="0"/>
    <x v="2"/>
    <s v="TRK47077395"/>
    <n v="1"/>
    <x v="0"/>
    <x v="3"/>
    <n v="317.25"/>
    <n v="317.25"/>
  </r>
  <r>
    <x v="46"/>
    <x v="44"/>
    <x v="1"/>
    <s v="Q2"/>
    <s v="C43212"/>
    <x v="0"/>
    <n v="4"/>
    <n v="550.14"/>
    <s v="223 Main St"/>
    <x v="0"/>
    <x v="4"/>
    <s v="TRK25100762"/>
    <n v="4"/>
    <x v="1"/>
    <x v="0"/>
    <n v="2200.56"/>
    <n v="2200.56"/>
  </r>
  <r>
    <x v="47"/>
    <x v="45"/>
    <x v="0"/>
    <s v="Q3"/>
    <s v="C38134"/>
    <x v="6"/>
    <n v="2"/>
    <n v="209.94"/>
    <s v="323 Main St"/>
    <x v="2"/>
    <x v="2"/>
    <s v="TRK42450754"/>
    <n v="3"/>
    <x v="1"/>
    <x v="2"/>
    <n v="419.88"/>
    <n v="419.88"/>
  </r>
  <r>
    <x v="48"/>
    <x v="46"/>
    <x v="0"/>
    <s v="Q3"/>
    <s v="C12408"/>
    <x v="0"/>
    <n v="2"/>
    <n v="80.77"/>
    <s v="464 Main St"/>
    <x v="0"/>
    <x v="0"/>
    <s v="TRK38938858"/>
    <n v="4"/>
    <x v="2"/>
    <x v="4"/>
    <n v="161.54"/>
    <n v="161.54"/>
  </r>
  <r>
    <x v="49"/>
    <x v="47"/>
    <x v="0"/>
    <s v="Q4"/>
    <s v="C11985"/>
    <x v="4"/>
    <n v="1"/>
    <n v="30.44"/>
    <s v="633 Main St"/>
    <x v="2"/>
    <x v="0"/>
    <s v="TRK53272402"/>
    <n v="1"/>
    <x v="0"/>
    <x v="2"/>
    <n v="30.44"/>
    <n v="30.44"/>
  </r>
  <r>
    <x v="50"/>
    <x v="48"/>
    <x v="0"/>
    <s v="Q3"/>
    <s v="C96494"/>
    <x v="2"/>
    <n v="1"/>
    <n v="179.22"/>
    <s v="446 Main St"/>
    <x v="1"/>
    <x v="1"/>
    <s v="TRK14675049"/>
    <n v="6"/>
    <x v="1"/>
    <x v="0"/>
    <n v="179.22"/>
    <n v="179.22"/>
  </r>
  <r>
    <x v="51"/>
    <x v="49"/>
    <x v="1"/>
    <s v="Q4"/>
    <s v="C36778"/>
    <x v="2"/>
    <n v="1"/>
    <n v="388.33"/>
    <s v="434 Main St"/>
    <x v="4"/>
    <x v="2"/>
    <s v="TRK67610289"/>
    <n v="2"/>
    <x v="0"/>
    <x v="3"/>
    <n v="388.33"/>
    <n v="388.33"/>
  </r>
  <r>
    <x v="52"/>
    <x v="50"/>
    <x v="1"/>
    <s v="Q3"/>
    <s v="C30513"/>
    <x v="2"/>
    <n v="1"/>
    <n v="586.44000000000005"/>
    <s v="232 Main St"/>
    <x v="1"/>
    <x v="2"/>
    <s v="TRK64320429"/>
    <n v="5"/>
    <x v="0"/>
    <x v="3"/>
    <n v="586.44000000000005"/>
    <n v="586.44000000000005"/>
  </r>
  <r>
    <x v="53"/>
    <x v="51"/>
    <x v="1"/>
    <s v="Q2"/>
    <s v="C67551"/>
    <x v="1"/>
    <n v="4"/>
    <n v="488.78"/>
    <s v="512 Main St"/>
    <x v="1"/>
    <x v="2"/>
    <s v="TRK94992552"/>
    <n v="5"/>
    <x v="1"/>
    <x v="4"/>
    <n v="1955.12"/>
    <n v="1955.12"/>
  </r>
  <r>
    <x v="54"/>
    <x v="52"/>
    <x v="2"/>
    <s v="Q1"/>
    <s v="C48120"/>
    <x v="3"/>
    <n v="1"/>
    <n v="280.25"/>
    <s v="623 Main St"/>
    <x v="1"/>
    <x v="4"/>
    <s v="TRK11014449"/>
    <n v="5"/>
    <x v="3"/>
    <x v="2"/>
    <n v="280.25"/>
    <n v="280.25"/>
  </r>
  <r>
    <x v="55"/>
    <x v="53"/>
    <x v="2"/>
    <s v="Q2"/>
    <s v="C95984"/>
    <x v="4"/>
    <n v="3"/>
    <n v="344.4"/>
    <s v="565 Main St"/>
    <x v="1"/>
    <x v="1"/>
    <s v="TRK67434829"/>
    <n v="3"/>
    <x v="2"/>
    <x v="3"/>
    <n v="1033.2"/>
    <n v="1033.2"/>
  </r>
  <r>
    <x v="56"/>
    <x v="54"/>
    <x v="0"/>
    <s v="Q2"/>
    <s v="C54298"/>
    <x v="2"/>
    <n v="3"/>
    <n v="479.21"/>
    <s v="566 Main St"/>
    <x v="4"/>
    <x v="1"/>
    <s v="TRK62902341"/>
    <n v="5"/>
    <x v="3"/>
    <x v="1"/>
    <n v="1437.63"/>
    <n v="1437.63"/>
  </r>
  <r>
    <x v="57"/>
    <x v="55"/>
    <x v="0"/>
    <s v="Q1"/>
    <s v="C88036"/>
    <x v="4"/>
    <n v="5"/>
    <n v="314.27"/>
    <s v="842 Main St"/>
    <x v="4"/>
    <x v="2"/>
    <s v="TRK52470128"/>
    <n v="6"/>
    <x v="0"/>
    <x v="0"/>
    <n v="1571.35"/>
    <n v="1571.35"/>
  </r>
  <r>
    <x v="58"/>
    <x v="56"/>
    <x v="0"/>
    <s v="Q1"/>
    <s v="C60190"/>
    <x v="1"/>
    <n v="4"/>
    <n v="474.69"/>
    <s v="202 Main St"/>
    <x v="3"/>
    <x v="1"/>
    <s v="TRK70857868"/>
    <n v="6"/>
    <x v="0"/>
    <x v="4"/>
    <n v="1898.76"/>
    <n v="1898.76"/>
  </r>
  <r>
    <x v="59"/>
    <x v="57"/>
    <x v="1"/>
    <s v="Q3"/>
    <s v="C97603"/>
    <x v="3"/>
    <n v="4"/>
    <n v="593.27"/>
    <s v="811 Main St"/>
    <x v="1"/>
    <x v="0"/>
    <s v="TRK47055028"/>
    <n v="5"/>
    <x v="2"/>
    <x v="3"/>
    <n v="2373.08"/>
    <n v="2373.08"/>
  </r>
  <r>
    <x v="60"/>
    <x v="58"/>
    <x v="1"/>
    <s v="Q3"/>
    <s v="C39256"/>
    <x v="6"/>
    <n v="1"/>
    <n v="417.1"/>
    <s v="634 Main St"/>
    <x v="0"/>
    <x v="2"/>
    <s v="TRK23412025"/>
    <n v="3"/>
    <x v="1"/>
    <x v="1"/>
    <n v="417.1"/>
    <n v="417.1"/>
  </r>
  <r>
    <x v="61"/>
    <x v="59"/>
    <x v="1"/>
    <s v="Q1"/>
    <s v="C61618"/>
    <x v="6"/>
    <n v="4"/>
    <n v="122.2"/>
    <s v="104 Main St"/>
    <x v="4"/>
    <x v="3"/>
    <s v="TRK43458485"/>
    <n v="7"/>
    <x v="1"/>
    <x v="3"/>
    <n v="488.8"/>
    <n v="488.8"/>
  </r>
  <r>
    <x v="62"/>
    <x v="60"/>
    <x v="0"/>
    <s v="Q3"/>
    <s v="C36497"/>
    <x v="6"/>
    <n v="2"/>
    <n v="43.15"/>
    <s v="691 Main St"/>
    <x v="0"/>
    <x v="4"/>
    <s v="TRK12102911"/>
    <n v="3"/>
    <x v="3"/>
    <x v="2"/>
    <n v="86.3"/>
    <n v="86.3"/>
  </r>
  <r>
    <x v="63"/>
    <x v="61"/>
    <x v="2"/>
    <s v="Q1"/>
    <s v="C96695"/>
    <x v="3"/>
    <n v="1"/>
    <n v="564.86"/>
    <s v="813 Main St"/>
    <x v="0"/>
    <x v="0"/>
    <s v="TRK64283851"/>
    <n v="6"/>
    <x v="3"/>
    <x v="1"/>
    <n v="564.86"/>
    <n v="564.86"/>
  </r>
  <r>
    <x v="64"/>
    <x v="62"/>
    <x v="2"/>
    <s v="Q2"/>
    <s v="C49720"/>
    <x v="4"/>
    <n v="3"/>
    <n v="130.61000000000001"/>
    <s v="752 Main St"/>
    <x v="0"/>
    <x v="1"/>
    <s v="TRK55785217"/>
    <n v="4"/>
    <x v="1"/>
    <x v="3"/>
    <n v="391.83"/>
    <n v="391.83"/>
  </r>
  <r>
    <x v="65"/>
    <x v="63"/>
    <x v="0"/>
    <s v="Q4"/>
    <s v="C97735"/>
    <x v="0"/>
    <n v="5"/>
    <n v="81.7"/>
    <s v="385 Main St"/>
    <x v="2"/>
    <x v="3"/>
    <s v="TRK13743703"/>
    <n v="6"/>
    <x v="2"/>
    <x v="0"/>
    <n v="408.5"/>
    <n v="408.5"/>
  </r>
  <r>
    <x v="66"/>
    <x v="64"/>
    <x v="1"/>
    <s v="Q4"/>
    <s v="C18104"/>
    <x v="3"/>
    <n v="5"/>
    <n v="127.18"/>
    <s v="715 Main St"/>
    <x v="4"/>
    <x v="1"/>
    <s v="TRK15488568"/>
    <n v="9"/>
    <x v="0"/>
    <x v="1"/>
    <n v="635.9"/>
    <n v="635.9"/>
  </r>
  <r>
    <x v="67"/>
    <x v="65"/>
    <x v="1"/>
    <s v="Q4"/>
    <s v="C25587"/>
    <x v="4"/>
    <n v="4"/>
    <n v="12.1"/>
    <s v="440 Main St"/>
    <x v="0"/>
    <x v="1"/>
    <s v="TRK55105323"/>
    <n v="8"/>
    <x v="2"/>
    <x v="4"/>
    <n v="48.4"/>
    <n v="48.4"/>
  </r>
  <r>
    <x v="68"/>
    <x v="66"/>
    <x v="0"/>
    <s v="Q4"/>
    <s v="C41598"/>
    <x v="3"/>
    <n v="3"/>
    <n v="490.92"/>
    <s v="709 Main St"/>
    <x v="2"/>
    <x v="4"/>
    <s v="TRK81665940"/>
    <n v="5"/>
    <x v="1"/>
    <x v="2"/>
    <n v="1472.76"/>
    <n v="1472.76"/>
  </r>
  <r>
    <x v="69"/>
    <x v="67"/>
    <x v="0"/>
    <s v="Q2"/>
    <s v="C43338"/>
    <x v="0"/>
    <n v="3"/>
    <n v="478.65"/>
    <s v="552 Main St"/>
    <x v="1"/>
    <x v="0"/>
    <s v="TRK35241775"/>
    <n v="4"/>
    <x v="2"/>
    <x v="1"/>
    <n v="1435.95"/>
    <n v="1435.95"/>
  </r>
  <r>
    <x v="70"/>
    <x v="68"/>
    <x v="0"/>
    <s v="Q2"/>
    <s v="C25123"/>
    <x v="6"/>
    <n v="1"/>
    <n v="629.21"/>
    <s v="384 Main St"/>
    <x v="3"/>
    <x v="4"/>
    <s v="TRK27812282"/>
    <n v="2"/>
    <x v="1"/>
    <x v="0"/>
    <n v="629.21"/>
    <n v="629.21"/>
  </r>
  <r>
    <x v="71"/>
    <x v="69"/>
    <x v="2"/>
    <s v="Q2"/>
    <s v="C37454"/>
    <x v="0"/>
    <n v="3"/>
    <n v="434.45"/>
    <s v="923 Main St"/>
    <x v="2"/>
    <x v="4"/>
    <s v="TRK28252730"/>
    <n v="4"/>
    <x v="2"/>
    <x v="1"/>
    <n v="1303.3499999999999"/>
    <n v="1303.3499999999999"/>
  </r>
  <r>
    <x v="72"/>
    <x v="70"/>
    <x v="1"/>
    <s v="Q4"/>
    <s v="C19451"/>
    <x v="2"/>
    <n v="4"/>
    <n v="589.44000000000005"/>
    <s v="942 Main St"/>
    <x v="3"/>
    <x v="2"/>
    <s v="TRK87787793"/>
    <n v="5"/>
    <x v="2"/>
    <x v="3"/>
    <n v="2357.7600000000002"/>
    <n v="2357.7600000000002"/>
  </r>
  <r>
    <x v="73"/>
    <x v="71"/>
    <x v="0"/>
    <s v="Q2"/>
    <s v="C17269"/>
    <x v="0"/>
    <n v="4"/>
    <n v="433.45"/>
    <s v="129 Main St"/>
    <x v="3"/>
    <x v="1"/>
    <s v="TRK79608389"/>
    <n v="4"/>
    <x v="2"/>
    <x v="3"/>
    <n v="1733.8"/>
    <n v="1733.8"/>
  </r>
  <r>
    <x v="74"/>
    <x v="72"/>
    <x v="0"/>
    <s v="Q2"/>
    <s v="C25382"/>
    <x v="1"/>
    <n v="5"/>
    <n v="90.87"/>
    <s v="622 Main St"/>
    <x v="4"/>
    <x v="4"/>
    <s v="TRK64691287"/>
    <n v="5"/>
    <x v="2"/>
    <x v="0"/>
    <n v="454.35"/>
    <n v="454.35"/>
  </r>
  <r>
    <x v="75"/>
    <x v="73"/>
    <x v="0"/>
    <s v="Q3"/>
    <s v="C80651"/>
    <x v="2"/>
    <n v="3"/>
    <n v="398.17"/>
    <s v="917 Main St"/>
    <x v="0"/>
    <x v="3"/>
    <s v="TRK14846720"/>
    <n v="5"/>
    <x v="0"/>
    <x v="2"/>
    <n v="1194.51"/>
    <n v="1194.51"/>
  </r>
  <r>
    <x v="76"/>
    <x v="74"/>
    <x v="1"/>
    <s v="Q1"/>
    <s v="C58638"/>
    <x v="5"/>
    <n v="4"/>
    <n v="382.88"/>
    <s v="239 Main St"/>
    <x v="4"/>
    <x v="1"/>
    <s v="TRK38224871"/>
    <n v="6"/>
    <x v="3"/>
    <x v="2"/>
    <n v="1531.52"/>
    <n v="1531.52"/>
  </r>
  <r>
    <x v="77"/>
    <x v="75"/>
    <x v="1"/>
    <s v="Q2"/>
    <s v="C50121"/>
    <x v="1"/>
    <n v="1"/>
    <n v="583.17999999999995"/>
    <s v="348 Main St"/>
    <x v="2"/>
    <x v="2"/>
    <s v="TRK79810059"/>
    <n v="5"/>
    <x v="2"/>
    <x v="4"/>
    <n v="583.17999999999995"/>
    <n v="583.17999999999995"/>
  </r>
  <r>
    <x v="78"/>
    <x v="76"/>
    <x v="1"/>
    <s v="Q3"/>
    <s v="C32029"/>
    <x v="4"/>
    <n v="4"/>
    <n v="175.36"/>
    <s v="146 Main St"/>
    <x v="0"/>
    <x v="3"/>
    <s v="TRK68535532"/>
    <n v="4"/>
    <x v="1"/>
    <x v="0"/>
    <n v="701.44"/>
    <n v="701.44"/>
  </r>
  <r>
    <x v="79"/>
    <x v="77"/>
    <x v="2"/>
    <s v="Q1"/>
    <s v="C76700"/>
    <x v="2"/>
    <n v="2"/>
    <n v="311.91000000000003"/>
    <s v="103 Main St"/>
    <x v="1"/>
    <x v="0"/>
    <s v="TRK13036341"/>
    <n v="2"/>
    <x v="2"/>
    <x v="3"/>
    <n v="623.82000000000005"/>
    <n v="623.82000000000005"/>
  </r>
  <r>
    <x v="80"/>
    <x v="78"/>
    <x v="0"/>
    <s v="Q2"/>
    <s v="C29041"/>
    <x v="1"/>
    <n v="3"/>
    <n v="589.55999999999995"/>
    <s v="591 Main St"/>
    <x v="1"/>
    <x v="2"/>
    <s v="TRK28840655"/>
    <n v="6"/>
    <x v="2"/>
    <x v="3"/>
    <n v="1768.68"/>
    <n v="1768.68"/>
  </r>
  <r>
    <x v="81"/>
    <x v="79"/>
    <x v="0"/>
    <s v="Q2"/>
    <s v="C29314"/>
    <x v="0"/>
    <n v="2"/>
    <n v="394.3"/>
    <s v="496 Main St"/>
    <x v="4"/>
    <x v="0"/>
    <s v="TRK59876213"/>
    <n v="6"/>
    <x v="1"/>
    <x v="2"/>
    <n v="788.6"/>
    <n v="788.6"/>
  </r>
  <r>
    <x v="82"/>
    <x v="80"/>
    <x v="1"/>
    <s v="Q1"/>
    <s v="C65799"/>
    <x v="2"/>
    <n v="4"/>
    <n v="565.20000000000005"/>
    <s v="971 Main St"/>
    <x v="0"/>
    <x v="0"/>
    <s v="TRK66906607"/>
    <n v="9"/>
    <x v="0"/>
    <x v="4"/>
    <n v="2260.8000000000002"/>
    <n v="2260.8000000000002"/>
  </r>
  <r>
    <x v="83"/>
    <x v="60"/>
    <x v="0"/>
    <s v="Q3"/>
    <s v="C15681"/>
    <x v="5"/>
    <n v="4"/>
    <n v="540.41"/>
    <s v="989 Main St"/>
    <x v="2"/>
    <x v="1"/>
    <s v="TRK75112172"/>
    <n v="6"/>
    <x v="2"/>
    <x v="1"/>
    <n v="2161.64"/>
    <n v="2161.64"/>
  </r>
  <r>
    <x v="84"/>
    <x v="81"/>
    <x v="0"/>
    <s v="Q3"/>
    <s v="C64160"/>
    <x v="0"/>
    <n v="2"/>
    <n v="165.49"/>
    <s v="967 Main St"/>
    <x v="1"/>
    <x v="0"/>
    <s v="TRK34121529"/>
    <n v="4"/>
    <x v="3"/>
    <x v="0"/>
    <n v="330.98"/>
    <n v="330.98"/>
  </r>
  <r>
    <x v="85"/>
    <x v="82"/>
    <x v="1"/>
    <s v="Q3"/>
    <s v="C14553"/>
    <x v="2"/>
    <n v="3"/>
    <n v="146.72999999999999"/>
    <s v="768 Main St"/>
    <x v="4"/>
    <x v="3"/>
    <s v="TRK93538334"/>
    <n v="8"/>
    <x v="1"/>
    <x v="2"/>
    <n v="440.19"/>
    <n v="440.19"/>
  </r>
  <r>
    <x v="86"/>
    <x v="83"/>
    <x v="1"/>
    <s v="Q2"/>
    <s v="C88205"/>
    <x v="4"/>
    <n v="5"/>
    <n v="643.03"/>
    <s v="447 Main St"/>
    <x v="1"/>
    <x v="1"/>
    <s v="TRK93504166"/>
    <n v="5"/>
    <x v="1"/>
    <x v="1"/>
    <n v="3215.15"/>
    <n v="3215.15"/>
  </r>
  <r>
    <x v="87"/>
    <x v="84"/>
    <x v="1"/>
    <s v="Q4"/>
    <s v="C91245"/>
    <x v="2"/>
    <n v="3"/>
    <n v="225.11"/>
    <s v="915 Main St"/>
    <x v="4"/>
    <x v="0"/>
    <s v="TRK46976391"/>
    <n v="4"/>
    <x v="0"/>
    <x v="3"/>
    <n v="675.33"/>
    <n v="675.33"/>
  </r>
  <r>
    <x v="88"/>
    <x v="85"/>
    <x v="2"/>
    <s v="Q2"/>
    <s v="C75439"/>
    <x v="6"/>
    <n v="3"/>
    <n v="114.81"/>
    <s v="318 Main St"/>
    <x v="3"/>
    <x v="1"/>
    <s v="TRK19831653"/>
    <n v="7"/>
    <x v="2"/>
    <x v="4"/>
    <n v="344.43"/>
    <n v="344.43"/>
  </r>
  <r>
    <x v="89"/>
    <x v="86"/>
    <x v="2"/>
    <s v="Q1"/>
    <s v="C17181"/>
    <x v="4"/>
    <n v="5"/>
    <n v="455.33"/>
    <s v="291 Main St"/>
    <x v="2"/>
    <x v="1"/>
    <s v="TRK78912978"/>
    <n v="8"/>
    <x v="1"/>
    <x v="4"/>
    <n v="2276.65"/>
    <n v="2276.65"/>
  </r>
  <r>
    <x v="90"/>
    <x v="87"/>
    <x v="0"/>
    <s v="Q3"/>
    <s v="C36540"/>
    <x v="3"/>
    <n v="4"/>
    <n v="182.08"/>
    <s v="611 Main St"/>
    <x v="3"/>
    <x v="3"/>
    <s v="TRK35828122"/>
    <n v="4"/>
    <x v="0"/>
    <x v="2"/>
    <n v="728.32"/>
    <n v="728.32"/>
  </r>
  <r>
    <x v="91"/>
    <x v="88"/>
    <x v="0"/>
    <s v="Q1"/>
    <s v="C98216"/>
    <x v="5"/>
    <n v="5"/>
    <n v="492.75"/>
    <s v="196 Main St"/>
    <x v="4"/>
    <x v="0"/>
    <s v="TRK40986666"/>
    <n v="6"/>
    <x v="3"/>
    <x v="1"/>
    <n v="2463.75"/>
    <n v="2463.75"/>
  </r>
  <r>
    <x v="92"/>
    <x v="89"/>
    <x v="1"/>
    <s v="Q2"/>
    <s v="C29568"/>
    <x v="4"/>
    <n v="4"/>
    <n v="48.61"/>
    <s v="203 Main St"/>
    <x v="1"/>
    <x v="0"/>
    <s v="TRK46531075"/>
    <n v="7"/>
    <x v="1"/>
    <x v="3"/>
    <n v="194.44"/>
    <n v="194.44"/>
  </r>
  <r>
    <x v="93"/>
    <x v="90"/>
    <x v="0"/>
    <s v="Q1"/>
    <s v="C97262"/>
    <x v="6"/>
    <n v="4"/>
    <n v="431.01"/>
    <s v="837 Main St"/>
    <x v="2"/>
    <x v="2"/>
    <s v="TRK65990229"/>
    <n v="7"/>
    <x v="2"/>
    <x v="1"/>
    <n v="1724.04"/>
    <n v="1724.04"/>
  </r>
  <r>
    <x v="94"/>
    <x v="91"/>
    <x v="0"/>
    <s v="Q1"/>
    <s v="C79821"/>
    <x v="3"/>
    <n v="1"/>
    <n v="531.17999999999995"/>
    <s v="781 Main St"/>
    <x v="3"/>
    <x v="2"/>
    <s v="TRK12780193"/>
    <n v="6"/>
    <x v="3"/>
    <x v="0"/>
    <n v="531.17999999999995"/>
    <n v="531.17999999999995"/>
  </r>
  <r>
    <x v="95"/>
    <x v="92"/>
    <x v="0"/>
    <s v="Q1"/>
    <s v="C76761"/>
    <x v="4"/>
    <n v="4"/>
    <n v="117.51"/>
    <s v="839 Main St"/>
    <x v="0"/>
    <x v="2"/>
    <s v="TRK60179774"/>
    <n v="7"/>
    <x v="2"/>
    <x v="1"/>
    <n v="470.04"/>
    <n v="470.04"/>
  </r>
  <r>
    <x v="96"/>
    <x v="93"/>
    <x v="1"/>
    <s v="Q2"/>
    <s v="C93007"/>
    <x v="1"/>
    <n v="2"/>
    <n v="232.83"/>
    <s v="103 Main St"/>
    <x v="3"/>
    <x v="3"/>
    <s v="TRK85696091"/>
    <n v="7"/>
    <x v="2"/>
    <x v="0"/>
    <n v="465.66"/>
    <n v="465.66"/>
  </r>
  <r>
    <x v="97"/>
    <x v="94"/>
    <x v="2"/>
    <s v="Q1"/>
    <s v="C15624"/>
    <x v="2"/>
    <n v="5"/>
    <n v="619.52"/>
    <s v="922 Main St"/>
    <x v="0"/>
    <x v="4"/>
    <s v="TRK40621141"/>
    <n v="9"/>
    <x v="2"/>
    <x v="2"/>
    <n v="3097.6"/>
    <n v="3097.6"/>
  </r>
  <r>
    <x v="98"/>
    <x v="90"/>
    <x v="0"/>
    <s v="Q1"/>
    <s v="C70921"/>
    <x v="4"/>
    <n v="2"/>
    <n v="228.54"/>
    <s v="533 Main St"/>
    <x v="0"/>
    <x v="4"/>
    <s v="TRK54983109"/>
    <n v="3"/>
    <x v="2"/>
    <x v="2"/>
    <n v="457.08"/>
    <n v="457.08"/>
  </r>
  <r>
    <x v="99"/>
    <x v="95"/>
    <x v="2"/>
    <s v="Q2"/>
    <s v="C30477"/>
    <x v="4"/>
    <n v="1"/>
    <n v="201.58"/>
    <s v="717 Main St"/>
    <x v="0"/>
    <x v="1"/>
    <s v="TRK51829648"/>
    <n v="2"/>
    <x v="3"/>
    <x v="2"/>
    <n v="201.58"/>
    <n v="201.58"/>
  </r>
  <r>
    <x v="100"/>
    <x v="96"/>
    <x v="0"/>
    <s v="Q1"/>
    <s v="C74866"/>
    <x v="1"/>
    <n v="3"/>
    <n v="664.79"/>
    <s v="743 Main St"/>
    <x v="1"/>
    <x v="3"/>
    <s v="TRK53783265"/>
    <n v="6"/>
    <x v="2"/>
    <x v="3"/>
    <n v="1994.37"/>
    <n v="1994.37"/>
  </r>
  <r>
    <x v="101"/>
    <x v="97"/>
    <x v="0"/>
    <s v="Q4"/>
    <s v="C15283"/>
    <x v="4"/>
    <n v="1"/>
    <n v="381.02"/>
    <s v="152 Main St"/>
    <x v="4"/>
    <x v="0"/>
    <s v="TRK19286291"/>
    <n v="6"/>
    <x v="2"/>
    <x v="4"/>
    <n v="381.02"/>
    <n v="381.02"/>
  </r>
  <r>
    <x v="102"/>
    <x v="98"/>
    <x v="0"/>
    <s v="Q1"/>
    <s v="C18037"/>
    <x v="5"/>
    <n v="2"/>
    <n v="70.34"/>
    <s v="944 Main St"/>
    <x v="3"/>
    <x v="1"/>
    <s v="TRK47362236"/>
    <n v="3"/>
    <x v="1"/>
    <x v="2"/>
    <n v="140.68"/>
    <n v="140.68"/>
  </r>
  <r>
    <x v="103"/>
    <x v="99"/>
    <x v="2"/>
    <s v="Q1"/>
    <s v="C62656"/>
    <x v="1"/>
    <n v="4"/>
    <n v="218.43"/>
    <s v="514 Main St"/>
    <x v="2"/>
    <x v="1"/>
    <s v="TRK86296459"/>
    <n v="9"/>
    <x v="0"/>
    <x v="2"/>
    <n v="873.72"/>
    <n v="873.72"/>
  </r>
  <r>
    <x v="104"/>
    <x v="100"/>
    <x v="1"/>
    <s v="Q3"/>
    <s v="C65744"/>
    <x v="1"/>
    <n v="1"/>
    <n v="582.04"/>
    <s v="647 Main St"/>
    <x v="3"/>
    <x v="3"/>
    <s v="TRK39906058"/>
    <n v="1"/>
    <x v="1"/>
    <x v="2"/>
    <n v="582.04"/>
    <n v="582.04"/>
  </r>
  <r>
    <x v="105"/>
    <x v="101"/>
    <x v="1"/>
    <s v="Q4"/>
    <s v="C72290"/>
    <x v="4"/>
    <n v="3"/>
    <n v="185.4"/>
    <s v="810 Main St"/>
    <x v="3"/>
    <x v="1"/>
    <s v="TRK68792129"/>
    <n v="7"/>
    <x v="2"/>
    <x v="3"/>
    <n v="556.20000000000005"/>
    <n v="556.20000000000005"/>
  </r>
  <r>
    <x v="106"/>
    <x v="102"/>
    <x v="0"/>
    <s v="Q3"/>
    <s v="C73514"/>
    <x v="6"/>
    <n v="3"/>
    <n v="465.05"/>
    <s v="126 Main St"/>
    <x v="2"/>
    <x v="1"/>
    <s v="TRK96777924"/>
    <n v="3"/>
    <x v="0"/>
    <x v="2"/>
    <n v="1395.15"/>
    <n v="1395.15"/>
  </r>
  <r>
    <x v="107"/>
    <x v="14"/>
    <x v="0"/>
    <s v="Q1"/>
    <s v="C16775"/>
    <x v="4"/>
    <n v="5"/>
    <n v="670.75"/>
    <s v="848 Main St"/>
    <x v="3"/>
    <x v="0"/>
    <s v="TRK34392124"/>
    <n v="8"/>
    <x v="1"/>
    <x v="0"/>
    <n v="3353.75"/>
    <n v="3353.75"/>
  </r>
  <r>
    <x v="108"/>
    <x v="103"/>
    <x v="1"/>
    <s v="Q4"/>
    <s v="C33099"/>
    <x v="5"/>
    <n v="5"/>
    <n v="48.38"/>
    <s v="522 Main St"/>
    <x v="3"/>
    <x v="3"/>
    <s v="TRK28522330"/>
    <n v="9"/>
    <x v="3"/>
    <x v="2"/>
    <n v="241.9"/>
    <n v="241.9"/>
  </r>
  <r>
    <x v="109"/>
    <x v="104"/>
    <x v="0"/>
    <s v="Q3"/>
    <s v="C51157"/>
    <x v="6"/>
    <n v="3"/>
    <n v="592.87"/>
    <s v="131 Main St"/>
    <x v="3"/>
    <x v="0"/>
    <s v="TRK18674578"/>
    <n v="3"/>
    <x v="1"/>
    <x v="1"/>
    <n v="1778.61"/>
    <n v="1778.61"/>
  </r>
  <r>
    <x v="110"/>
    <x v="105"/>
    <x v="1"/>
    <s v="Q2"/>
    <s v="C74562"/>
    <x v="2"/>
    <n v="1"/>
    <n v="220.77"/>
    <s v="388 Main St"/>
    <x v="3"/>
    <x v="4"/>
    <s v="TRK32062079"/>
    <n v="5"/>
    <x v="1"/>
    <x v="0"/>
    <n v="220.77"/>
    <n v="220.77"/>
  </r>
  <r>
    <x v="111"/>
    <x v="106"/>
    <x v="2"/>
    <s v="Q2"/>
    <s v="C95271"/>
    <x v="6"/>
    <n v="3"/>
    <n v="309.22000000000003"/>
    <s v="620 Main St"/>
    <x v="1"/>
    <x v="1"/>
    <s v="TRK74904969"/>
    <n v="7"/>
    <x v="1"/>
    <x v="4"/>
    <n v="927.66"/>
    <n v="927.66"/>
  </r>
  <r>
    <x v="112"/>
    <x v="107"/>
    <x v="0"/>
    <s v="Q1"/>
    <s v="C81366"/>
    <x v="0"/>
    <n v="1"/>
    <n v="410.6"/>
    <s v="423 Main St"/>
    <x v="1"/>
    <x v="1"/>
    <s v="TRK17062206"/>
    <n v="2"/>
    <x v="3"/>
    <x v="1"/>
    <n v="410.6"/>
    <n v="410.6"/>
  </r>
  <r>
    <x v="113"/>
    <x v="108"/>
    <x v="1"/>
    <s v="Q1"/>
    <s v="C65905"/>
    <x v="5"/>
    <n v="5"/>
    <n v="190.08"/>
    <s v="605 Main St"/>
    <x v="4"/>
    <x v="0"/>
    <s v="TRK73954365"/>
    <n v="9"/>
    <x v="1"/>
    <x v="0"/>
    <n v="950.4"/>
    <n v="950.4"/>
  </r>
  <r>
    <x v="114"/>
    <x v="109"/>
    <x v="2"/>
    <s v="Q1"/>
    <s v="C77272"/>
    <x v="0"/>
    <n v="5"/>
    <n v="498.48"/>
    <s v="115 Main St"/>
    <x v="1"/>
    <x v="4"/>
    <s v="TRK29708128"/>
    <n v="8"/>
    <x v="0"/>
    <x v="4"/>
    <n v="2492.4"/>
    <n v="2492.4"/>
  </r>
  <r>
    <x v="115"/>
    <x v="110"/>
    <x v="0"/>
    <s v="Q4"/>
    <s v="C32580"/>
    <x v="1"/>
    <n v="5"/>
    <n v="374.99"/>
    <s v="122 Main St"/>
    <x v="1"/>
    <x v="0"/>
    <s v="TRK23670394"/>
    <n v="9"/>
    <x v="0"/>
    <x v="3"/>
    <n v="1874.95"/>
    <n v="1874.95"/>
  </r>
  <r>
    <x v="116"/>
    <x v="111"/>
    <x v="0"/>
    <s v="Q1"/>
    <s v="C47761"/>
    <x v="4"/>
    <n v="4"/>
    <n v="291.35000000000002"/>
    <s v="109 Main St"/>
    <x v="2"/>
    <x v="1"/>
    <s v="TRK66669207"/>
    <n v="6"/>
    <x v="3"/>
    <x v="3"/>
    <n v="1165.4000000000001"/>
    <n v="1165.4000000000001"/>
  </r>
  <r>
    <x v="117"/>
    <x v="98"/>
    <x v="0"/>
    <s v="Q1"/>
    <s v="C49187"/>
    <x v="2"/>
    <n v="1"/>
    <n v="535.5"/>
    <s v="593 Main St"/>
    <x v="3"/>
    <x v="1"/>
    <s v="TRK81888598"/>
    <n v="5"/>
    <x v="3"/>
    <x v="1"/>
    <n v="535.5"/>
    <n v="535.5"/>
  </r>
  <r>
    <x v="118"/>
    <x v="112"/>
    <x v="0"/>
    <s v="Q4"/>
    <s v="C27898"/>
    <x v="4"/>
    <n v="5"/>
    <n v="502.71"/>
    <s v="807 Main St"/>
    <x v="3"/>
    <x v="0"/>
    <s v="TRK61957665"/>
    <n v="7"/>
    <x v="1"/>
    <x v="4"/>
    <n v="2513.5500000000002"/>
    <n v="2513.5500000000002"/>
  </r>
  <r>
    <x v="119"/>
    <x v="113"/>
    <x v="2"/>
    <s v="Q2"/>
    <s v="C14683"/>
    <x v="6"/>
    <n v="2"/>
    <n v="534.66999999999996"/>
    <s v="187 Main St"/>
    <x v="0"/>
    <x v="0"/>
    <s v="TRK47373682"/>
    <n v="7"/>
    <x v="1"/>
    <x v="1"/>
    <n v="1069.3399999999999"/>
    <n v="1069.3399999999999"/>
  </r>
  <r>
    <x v="120"/>
    <x v="114"/>
    <x v="0"/>
    <s v="Q2"/>
    <s v="C58108"/>
    <x v="2"/>
    <n v="4"/>
    <n v="629.34"/>
    <s v="986 Main St"/>
    <x v="4"/>
    <x v="1"/>
    <s v="TRK66218053"/>
    <n v="4"/>
    <x v="3"/>
    <x v="0"/>
    <n v="2517.36"/>
    <n v="2517.36"/>
  </r>
  <r>
    <x v="121"/>
    <x v="115"/>
    <x v="0"/>
    <s v="Q4"/>
    <s v="C89822"/>
    <x v="6"/>
    <n v="1"/>
    <n v="410.78"/>
    <s v="673 Main St"/>
    <x v="4"/>
    <x v="1"/>
    <s v="TRK24138598"/>
    <n v="1"/>
    <x v="1"/>
    <x v="0"/>
    <n v="410.78"/>
    <n v="410.78"/>
  </r>
  <r>
    <x v="122"/>
    <x v="116"/>
    <x v="1"/>
    <s v="Q2"/>
    <s v="C96787"/>
    <x v="5"/>
    <n v="2"/>
    <n v="533.02"/>
    <s v="588 Main St"/>
    <x v="3"/>
    <x v="0"/>
    <s v="TRK30422853"/>
    <n v="2"/>
    <x v="2"/>
    <x v="3"/>
    <n v="1066.04"/>
    <n v="1066.04"/>
  </r>
  <r>
    <x v="123"/>
    <x v="117"/>
    <x v="0"/>
    <s v="Q3"/>
    <s v="C86064"/>
    <x v="6"/>
    <n v="3"/>
    <n v="278.04000000000002"/>
    <s v="727 Main St"/>
    <x v="1"/>
    <x v="3"/>
    <s v="TRK62182901"/>
    <n v="5"/>
    <x v="2"/>
    <x v="0"/>
    <n v="834.12"/>
    <n v="834.12"/>
  </r>
  <r>
    <x v="124"/>
    <x v="118"/>
    <x v="1"/>
    <s v="Q3"/>
    <s v="C97148"/>
    <x v="4"/>
    <n v="4"/>
    <n v="283.79000000000002"/>
    <s v="563 Main St"/>
    <x v="1"/>
    <x v="4"/>
    <s v="TRK85321126"/>
    <n v="8"/>
    <x v="2"/>
    <x v="4"/>
    <n v="1135.1600000000001"/>
    <n v="1135.1600000000001"/>
  </r>
  <r>
    <x v="125"/>
    <x v="119"/>
    <x v="1"/>
    <s v="Q4"/>
    <s v="C91099"/>
    <x v="1"/>
    <n v="2"/>
    <n v="512.65"/>
    <s v="758 Main St"/>
    <x v="2"/>
    <x v="0"/>
    <s v="TRK81846174"/>
    <n v="5"/>
    <x v="0"/>
    <x v="2"/>
    <n v="1025.3"/>
    <n v="1025.3"/>
  </r>
  <r>
    <x v="126"/>
    <x v="120"/>
    <x v="2"/>
    <s v="Q2"/>
    <s v="C55606"/>
    <x v="6"/>
    <n v="4"/>
    <n v="275.5"/>
    <s v="353 Main St"/>
    <x v="3"/>
    <x v="0"/>
    <s v="TRK68250319"/>
    <n v="8"/>
    <x v="1"/>
    <x v="4"/>
    <n v="1102"/>
    <n v="1102"/>
  </r>
  <r>
    <x v="127"/>
    <x v="121"/>
    <x v="0"/>
    <s v="Q3"/>
    <s v="C71486"/>
    <x v="6"/>
    <n v="3"/>
    <n v="469.32"/>
    <s v="365 Main St"/>
    <x v="0"/>
    <x v="0"/>
    <s v="TRK73929833"/>
    <n v="3"/>
    <x v="2"/>
    <x v="4"/>
    <n v="1407.96"/>
    <n v="1407.96"/>
  </r>
  <r>
    <x v="128"/>
    <x v="96"/>
    <x v="0"/>
    <s v="Q1"/>
    <s v="C86408"/>
    <x v="2"/>
    <n v="4"/>
    <n v="21.07"/>
    <s v="244 Main St"/>
    <x v="3"/>
    <x v="3"/>
    <s v="TRK41432648"/>
    <n v="4"/>
    <x v="1"/>
    <x v="4"/>
    <n v="84.28"/>
    <n v="84.28"/>
  </r>
  <r>
    <x v="129"/>
    <x v="122"/>
    <x v="0"/>
    <s v="Q4"/>
    <s v="C52751"/>
    <x v="5"/>
    <n v="4"/>
    <n v="263.93"/>
    <s v="427 Main St"/>
    <x v="0"/>
    <x v="0"/>
    <s v="TRK72481234"/>
    <n v="4"/>
    <x v="1"/>
    <x v="3"/>
    <n v="1055.72"/>
    <n v="1055.72"/>
  </r>
  <r>
    <x v="130"/>
    <x v="123"/>
    <x v="2"/>
    <s v="Q1"/>
    <s v="C29059"/>
    <x v="6"/>
    <n v="3"/>
    <n v="501.3"/>
    <s v="513 Main St"/>
    <x v="1"/>
    <x v="1"/>
    <s v="TRK88360704"/>
    <n v="3"/>
    <x v="3"/>
    <x v="3"/>
    <n v="1503.9"/>
    <n v="1503.9"/>
  </r>
  <r>
    <x v="131"/>
    <x v="124"/>
    <x v="0"/>
    <s v="Q1"/>
    <s v="C72862"/>
    <x v="2"/>
    <n v="1"/>
    <n v="84.8"/>
    <s v="606 Main St"/>
    <x v="3"/>
    <x v="4"/>
    <s v="TRK51648833"/>
    <n v="5"/>
    <x v="2"/>
    <x v="0"/>
    <n v="84.8"/>
    <n v="84.8"/>
  </r>
  <r>
    <x v="132"/>
    <x v="125"/>
    <x v="0"/>
    <s v="Q1"/>
    <s v="C96257"/>
    <x v="2"/>
    <n v="4"/>
    <n v="450.75"/>
    <s v="583 Main St"/>
    <x v="2"/>
    <x v="0"/>
    <s v="TRK13137948"/>
    <n v="6"/>
    <x v="3"/>
    <x v="2"/>
    <n v="1803"/>
    <n v="1803"/>
  </r>
  <r>
    <x v="133"/>
    <x v="126"/>
    <x v="2"/>
    <s v="Q2"/>
    <s v="C87432"/>
    <x v="3"/>
    <n v="4"/>
    <n v="302.05"/>
    <s v="636 Main St"/>
    <x v="0"/>
    <x v="1"/>
    <s v="TRK68969625"/>
    <n v="6"/>
    <x v="0"/>
    <x v="4"/>
    <n v="1208.2"/>
    <n v="1208.2"/>
  </r>
  <r>
    <x v="134"/>
    <x v="127"/>
    <x v="2"/>
    <s v="Q2"/>
    <s v="C16253"/>
    <x v="5"/>
    <n v="2"/>
    <n v="199.7"/>
    <s v="583 Main St"/>
    <x v="4"/>
    <x v="4"/>
    <s v="TRK17354894"/>
    <n v="4"/>
    <x v="2"/>
    <x v="2"/>
    <n v="399.4"/>
    <n v="399.4"/>
  </r>
  <r>
    <x v="135"/>
    <x v="128"/>
    <x v="0"/>
    <s v="Q3"/>
    <s v="C79909"/>
    <x v="4"/>
    <n v="2"/>
    <n v="68.81"/>
    <s v="642 Main St"/>
    <x v="3"/>
    <x v="0"/>
    <s v="TRK86742257"/>
    <n v="5"/>
    <x v="0"/>
    <x v="1"/>
    <n v="137.62"/>
    <n v="137.62"/>
  </r>
  <r>
    <x v="136"/>
    <x v="129"/>
    <x v="1"/>
    <s v="Q2"/>
    <s v="C73370"/>
    <x v="5"/>
    <n v="1"/>
    <n v="44.35"/>
    <s v="595 Main St"/>
    <x v="3"/>
    <x v="1"/>
    <s v="TRK67820278"/>
    <n v="1"/>
    <x v="0"/>
    <x v="0"/>
    <n v="44.35"/>
    <n v="44.35"/>
  </r>
  <r>
    <x v="137"/>
    <x v="130"/>
    <x v="1"/>
    <s v="Q4"/>
    <s v="C50682"/>
    <x v="0"/>
    <n v="2"/>
    <n v="250.98"/>
    <s v="598 Main St"/>
    <x v="2"/>
    <x v="3"/>
    <s v="TRK12242337"/>
    <n v="5"/>
    <x v="2"/>
    <x v="4"/>
    <n v="501.96"/>
    <n v="501.96"/>
  </r>
  <r>
    <x v="138"/>
    <x v="131"/>
    <x v="0"/>
    <s v="Q4"/>
    <s v="C21905"/>
    <x v="2"/>
    <n v="1"/>
    <n v="298.06"/>
    <s v="478 Main St"/>
    <x v="0"/>
    <x v="4"/>
    <s v="TRK31863841"/>
    <n v="3"/>
    <x v="3"/>
    <x v="4"/>
    <n v="298.06"/>
    <n v="298.06"/>
  </r>
  <r>
    <x v="139"/>
    <x v="132"/>
    <x v="0"/>
    <s v="Q2"/>
    <s v="C61440"/>
    <x v="1"/>
    <n v="1"/>
    <n v="583.9"/>
    <s v="714 Main St"/>
    <x v="4"/>
    <x v="2"/>
    <s v="TRK33114521"/>
    <n v="1"/>
    <x v="2"/>
    <x v="2"/>
    <n v="583.9"/>
    <n v="583.9"/>
  </r>
  <r>
    <x v="140"/>
    <x v="133"/>
    <x v="2"/>
    <s v="Q2"/>
    <s v="C33110"/>
    <x v="3"/>
    <n v="3"/>
    <n v="528.14"/>
    <s v="388 Main St"/>
    <x v="1"/>
    <x v="3"/>
    <s v="TRK38624225"/>
    <n v="3"/>
    <x v="1"/>
    <x v="2"/>
    <n v="1584.42"/>
    <n v="1584.42"/>
  </r>
  <r>
    <x v="141"/>
    <x v="134"/>
    <x v="0"/>
    <s v="Q4"/>
    <s v="C80004"/>
    <x v="4"/>
    <n v="3"/>
    <n v="684.14"/>
    <s v="151 Main St"/>
    <x v="4"/>
    <x v="1"/>
    <s v="TRK66230753"/>
    <n v="3"/>
    <x v="3"/>
    <x v="0"/>
    <n v="2052.42"/>
    <n v="2052.42"/>
  </r>
  <r>
    <x v="142"/>
    <x v="135"/>
    <x v="0"/>
    <s v="Q3"/>
    <s v="C86374"/>
    <x v="6"/>
    <n v="5"/>
    <n v="272.77"/>
    <s v="573 Main St"/>
    <x v="4"/>
    <x v="4"/>
    <s v="TRK79451491"/>
    <n v="7"/>
    <x v="3"/>
    <x v="2"/>
    <n v="1363.85"/>
    <n v="1363.85"/>
  </r>
  <r>
    <x v="143"/>
    <x v="136"/>
    <x v="1"/>
    <s v="Q2"/>
    <s v="C66521"/>
    <x v="3"/>
    <n v="4"/>
    <n v="400.07"/>
    <s v="933 Main St"/>
    <x v="1"/>
    <x v="0"/>
    <s v="TRK34654244"/>
    <n v="5"/>
    <x v="2"/>
    <x v="1"/>
    <n v="1600.28"/>
    <n v="1600.28"/>
  </r>
  <r>
    <x v="144"/>
    <x v="128"/>
    <x v="0"/>
    <s v="Q3"/>
    <s v="C63365"/>
    <x v="6"/>
    <n v="5"/>
    <n v="219.78"/>
    <s v="895 Main St"/>
    <x v="2"/>
    <x v="4"/>
    <s v="TRK80100887"/>
    <n v="8"/>
    <x v="2"/>
    <x v="3"/>
    <n v="1098.9000000000001"/>
    <n v="1098.9000000000001"/>
  </r>
  <r>
    <x v="145"/>
    <x v="17"/>
    <x v="1"/>
    <s v="Q1"/>
    <s v="C85929"/>
    <x v="4"/>
    <n v="3"/>
    <n v="146.91"/>
    <s v="798 Main St"/>
    <x v="2"/>
    <x v="3"/>
    <s v="TRK29318610"/>
    <n v="6"/>
    <x v="1"/>
    <x v="4"/>
    <n v="440.73"/>
    <n v="440.73"/>
  </r>
  <r>
    <x v="146"/>
    <x v="137"/>
    <x v="2"/>
    <s v="Q2"/>
    <s v="C84645"/>
    <x v="2"/>
    <n v="2"/>
    <n v="411.49"/>
    <s v="404 Main St"/>
    <x v="2"/>
    <x v="2"/>
    <s v="TRK68893369"/>
    <n v="4"/>
    <x v="2"/>
    <x v="0"/>
    <n v="822.98"/>
    <n v="822.98"/>
  </r>
  <r>
    <x v="147"/>
    <x v="138"/>
    <x v="2"/>
    <s v="Q2"/>
    <s v="C46316"/>
    <x v="5"/>
    <n v="2"/>
    <n v="465.18"/>
    <s v="893 Main St"/>
    <x v="2"/>
    <x v="1"/>
    <s v="TRK16196000"/>
    <n v="2"/>
    <x v="0"/>
    <x v="4"/>
    <n v="930.36"/>
    <n v="930.36"/>
  </r>
  <r>
    <x v="148"/>
    <x v="139"/>
    <x v="1"/>
    <s v="Q4"/>
    <s v="C35100"/>
    <x v="1"/>
    <n v="2"/>
    <n v="319.91000000000003"/>
    <s v="139 Main St"/>
    <x v="2"/>
    <x v="1"/>
    <s v="TRK56853491"/>
    <n v="3"/>
    <x v="3"/>
    <x v="4"/>
    <n v="639.82000000000005"/>
    <n v="639.82000000000005"/>
  </r>
  <r>
    <x v="149"/>
    <x v="140"/>
    <x v="0"/>
    <s v="Q4"/>
    <s v="C39671"/>
    <x v="5"/>
    <n v="1"/>
    <n v="217.56"/>
    <s v="174 Main St"/>
    <x v="0"/>
    <x v="3"/>
    <s v="TRK47153818"/>
    <n v="3"/>
    <x v="2"/>
    <x v="3"/>
    <n v="217.56"/>
    <n v="217.56"/>
  </r>
  <r>
    <x v="150"/>
    <x v="141"/>
    <x v="0"/>
    <s v="Q4"/>
    <s v="C25503"/>
    <x v="1"/>
    <n v="2"/>
    <n v="105.57"/>
    <s v="981 Main St"/>
    <x v="0"/>
    <x v="2"/>
    <s v="TRK29878837"/>
    <n v="5"/>
    <x v="3"/>
    <x v="4"/>
    <n v="211.14"/>
    <n v="211.14"/>
  </r>
  <r>
    <x v="151"/>
    <x v="142"/>
    <x v="0"/>
    <s v="Q4"/>
    <s v="C32960"/>
    <x v="4"/>
    <n v="5"/>
    <n v="444.76"/>
    <s v="947 Main St"/>
    <x v="0"/>
    <x v="2"/>
    <s v="TRK91226500"/>
    <n v="7"/>
    <x v="2"/>
    <x v="2"/>
    <n v="2223.8000000000002"/>
    <n v="2223.8000000000002"/>
  </r>
  <r>
    <x v="152"/>
    <x v="143"/>
    <x v="2"/>
    <s v="Q1"/>
    <s v="C77736"/>
    <x v="3"/>
    <n v="2"/>
    <n v="399.04"/>
    <s v="659 Main St"/>
    <x v="4"/>
    <x v="1"/>
    <s v="TRK90329250"/>
    <n v="3"/>
    <x v="1"/>
    <x v="1"/>
    <n v="798.08"/>
    <n v="798.08"/>
  </r>
  <r>
    <x v="153"/>
    <x v="144"/>
    <x v="1"/>
    <s v="Q4"/>
    <s v="C71570"/>
    <x v="3"/>
    <n v="4"/>
    <n v="534.48"/>
    <s v="437 Main St"/>
    <x v="1"/>
    <x v="2"/>
    <s v="TRK95992269"/>
    <n v="9"/>
    <x v="3"/>
    <x v="0"/>
    <n v="2137.92"/>
    <n v="2137.92"/>
  </r>
  <r>
    <x v="154"/>
    <x v="145"/>
    <x v="0"/>
    <s v="Q3"/>
    <s v="C73587"/>
    <x v="1"/>
    <n v="4"/>
    <n v="408.21"/>
    <s v="727 Main St"/>
    <x v="2"/>
    <x v="4"/>
    <s v="TRK13955543"/>
    <n v="9"/>
    <x v="2"/>
    <x v="0"/>
    <n v="1632.84"/>
    <n v="1632.84"/>
  </r>
  <r>
    <x v="155"/>
    <x v="146"/>
    <x v="0"/>
    <s v="Q1"/>
    <s v="C62740"/>
    <x v="1"/>
    <n v="1"/>
    <n v="424.4"/>
    <s v="446 Main St"/>
    <x v="1"/>
    <x v="0"/>
    <s v="TRK20706408"/>
    <n v="6"/>
    <x v="3"/>
    <x v="1"/>
    <n v="424.4"/>
    <n v="424.4"/>
  </r>
  <r>
    <x v="156"/>
    <x v="147"/>
    <x v="1"/>
    <s v="Q4"/>
    <s v="C58808"/>
    <x v="3"/>
    <n v="2"/>
    <n v="269.83"/>
    <s v="651 Main St"/>
    <x v="1"/>
    <x v="3"/>
    <s v="TRK24451893"/>
    <n v="4"/>
    <x v="0"/>
    <x v="2"/>
    <n v="539.66"/>
    <n v="539.66"/>
  </r>
  <r>
    <x v="157"/>
    <x v="148"/>
    <x v="2"/>
    <s v="Q1"/>
    <s v="C50422"/>
    <x v="0"/>
    <n v="2"/>
    <n v="564.58000000000004"/>
    <s v="636 Main St"/>
    <x v="1"/>
    <x v="2"/>
    <s v="TRK71227815"/>
    <n v="4"/>
    <x v="3"/>
    <x v="3"/>
    <n v="1129.1600000000001"/>
    <n v="1129.1600000000001"/>
  </r>
  <r>
    <x v="158"/>
    <x v="149"/>
    <x v="1"/>
    <s v="Q2"/>
    <s v="C23334"/>
    <x v="2"/>
    <n v="1"/>
    <n v="331.06"/>
    <s v="737 Main St"/>
    <x v="2"/>
    <x v="4"/>
    <s v="TRK46335144"/>
    <n v="5"/>
    <x v="3"/>
    <x v="0"/>
    <n v="331.06"/>
    <n v="331.06"/>
  </r>
  <r>
    <x v="159"/>
    <x v="150"/>
    <x v="0"/>
    <s v="Q4"/>
    <s v="C48965"/>
    <x v="4"/>
    <n v="1"/>
    <n v="299.35000000000002"/>
    <s v="819 Main St"/>
    <x v="2"/>
    <x v="1"/>
    <s v="TRK50921780"/>
    <n v="5"/>
    <x v="3"/>
    <x v="2"/>
    <n v="299.35000000000002"/>
    <n v="299.35000000000002"/>
  </r>
  <r>
    <x v="160"/>
    <x v="96"/>
    <x v="0"/>
    <s v="Q1"/>
    <s v="C38669"/>
    <x v="0"/>
    <n v="4"/>
    <n v="101.32"/>
    <s v="240 Main St"/>
    <x v="4"/>
    <x v="4"/>
    <s v="TRK81738254"/>
    <n v="7"/>
    <x v="2"/>
    <x v="1"/>
    <n v="405.28"/>
    <n v="405.28"/>
  </r>
  <r>
    <x v="161"/>
    <x v="151"/>
    <x v="1"/>
    <s v="Q1"/>
    <s v="C35091"/>
    <x v="0"/>
    <n v="1"/>
    <n v="211.14"/>
    <s v="513 Main St"/>
    <x v="2"/>
    <x v="1"/>
    <s v="TRK53784452"/>
    <n v="1"/>
    <x v="0"/>
    <x v="3"/>
    <n v="211.14"/>
    <n v="211.14"/>
  </r>
  <r>
    <x v="162"/>
    <x v="152"/>
    <x v="0"/>
    <s v="Q3"/>
    <s v="C82313"/>
    <x v="3"/>
    <n v="3"/>
    <n v="65.86"/>
    <s v="917 Main St"/>
    <x v="1"/>
    <x v="4"/>
    <s v="TRK79854624"/>
    <n v="8"/>
    <x v="3"/>
    <x v="4"/>
    <n v="197.58"/>
    <n v="197.58"/>
  </r>
  <r>
    <x v="163"/>
    <x v="53"/>
    <x v="2"/>
    <s v="Q2"/>
    <s v="C99589"/>
    <x v="2"/>
    <n v="1"/>
    <n v="641.39"/>
    <s v="277 Main St"/>
    <x v="1"/>
    <x v="1"/>
    <s v="TRK16695001"/>
    <n v="1"/>
    <x v="2"/>
    <x v="1"/>
    <n v="641.39"/>
    <n v="641.39"/>
  </r>
  <r>
    <x v="164"/>
    <x v="153"/>
    <x v="0"/>
    <s v="Q4"/>
    <s v="C70566"/>
    <x v="6"/>
    <n v="5"/>
    <n v="536.58000000000004"/>
    <s v="667 Main St"/>
    <x v="3"/>
    <x v="4"/>
    <s v="TRK49673411"/>
    <n v="5"/>
    <x v="0"/>
    <x v="4"/>
    <n v="2682.9"/>
    <n v="2682.9"/>
  </r>
  <r>
    <x v="165"/>
    <x v="154"/>
    <x v="1"/>
    <s v="Q3"/>
    <s v="C60355"/>
    <x v="0"/>
    <n v="2"/>
    <n v="500.29"/>
    <s v="226 Main St"/>
    <x v="1"/>
    <x v="2"/>
    <s v="TRK30155194"/>
    <n v="7"/>
    <x v="3"/>
    <x v="4"/>
    <n v="1000.58"/>
    <n v="1000.58"/>
  </r>
  <r>
    <x v="166"/>
    <x v="155"/>
    <x v="2"/>
    <s v="Q1"/>
    <s v="C28889"/>
    <x v="3"/>
    <n v="3"/>
    <n v="86.29"/>
    <s v="565 Main St"/>
    <x v="4"/>
    <x v="3"/>
    <s v="TRK23791726"/>
    <n v="6"/>
    <x v="3"/>
    <x v="0"/>
    <n v="258.87"/>
    <n v="258.87"/>
  </r>
  <r>
    <x v="167"/>
    <x v="156"/>
    <x v="0"/>
    <s v="Q2"/>
    <s v="C88304"/>
    <x v="3"/>
    <n v="2"/>
    <n v="384.14"/>
    <s v="219 Main St"/>
    <x v="1"/>
    <x v="2"/>
    <s v="TRK44268941"/>
    <n v="2"/>
    <x v="3"/>
    <x v="2"/>
    <n v="768.28"/>
    <n v="768.28"/>
  </r>
  <r>
    <x v="168"/>
    <x v="157"/>
    <x v="2"/>
    <s v="Q1"/>
    <s v="C49517"/>
    <x v="4"/>
    <n v="1"/>
    <n v="594.96"/>
    <s v="878 Main St"/>
    <x v="4"/>
    <x v="2"/>
    <s v="TRK78551375"/>
    <n v="6"/>
    <x v="2"/>
    <x v="3"/>
    <n v="594.96"/>
    <n v="594.96"/>
  </r>
  <r>
    <x v="169"/>
    <x v="158"/>
    <x v="1"/>
    <s v="Q2"/>
    <s v="C35785"/>
    <x v="4"/>
    <n v="1"/>
    <n v="427.82"/>
    <s v="732 Main St"/>
    <x v="1"/>
    <x v="3"/>
    <s v="TRK78923089"/>
    <n v="2"/>
    <x v="3"/>
    <x v="2"/>
    <n v="427.82"/>
    <n v="427.82"/>
  </r>
  <r>
    <x v="170"/>
    <x v="159"/>
    <x v="2"/>
    <s v="Q2"/>
    <s v="C80223"/>
    <x v="6"/>
    <n v="4"/>
    <n v="662.94"/>
    <s v="535 Main St"/>
    <x v="4"/>
    <x v="1"/>
    <s v="TRK68632951"/>
    <n v="8"/>
    <x v="0"/>
    <x v="0"/>
    <n v="2651.76"/>
    <n v="2651.76"/>
  </r>
  <r>
    <x v="171"/>
    <x v="160"/>
    <x v="0"/>
    <s v="Q3"/>
    <s v="C20448"/>
    <x v="2"/>
    <n v="2"/>
    <n v="148.22"/>
    <s v="336 Main St"/>
    <x v="2"/>
    <x v="3"/>
    <s v="TRK67379895"/>
    <n v="7"/>
    <x v="3"/>
    <x v="0"/>
    <n v="296.44"/>
    <n v="296.44"/>
  </r>
  <r>
    <x v="172"/>
    <x v="161"/>
    <x v="2"/>
    <s v="Q2"/>
    <s v="C34134"/>
    <x v="4"/>
    <n v="1"/>
    <n v="254.12"/>
    <s v="365 Main St"/>
    <x v="1"/>
    <x v="3"/>
    <s v="TRK43074303"/>
    <n v="1"/>
    <x v="3"/>
    <x v="2"/>
    <n v="254.12"/>
    <n v="254.12"/>
  </r>
  <r>
    <x v="173"/>
    <x v="59"/>
    <x v="1"/>
    <s v="Q1"/>
    <s v="C95901"/>
    <x v="1"/>
    <n v="3"/>
    <n v="664.46"/>
    <s v="806 Main St"/>
    <x v="1"/>
    <x v="3"/>
    <s v="TRK56989066"/>
    <n v="4"/>
    <x v="1"/>
    <x v="4"/>
    <n v="1993.38"/>
    <n v="1993.38"/>
  </r>
  <r>
    <x v="174"/>
    <x v="162"/>
    <x v="1"/>
    <s v="Q2"/>
    <s v="C51145"/>
    <x v="4"/>
    <n v="4"/>
    <n v="600.80999999999995"/>
    <s v="790 Main St"/>
    <x v="0"/>
    <x v="3"/>
    <s v="TRK59154274"/>
    <n v="9"/>
    <x v="0"/>
    <x v="2"/>
    <n v="2403.2399999999998"/>
    <n v="2403.2399999999998"/>
  </r>
  <r>
    <x v="175"/>
    <x v="163"/>
    <x v="2"/>
    <s v="Q1"/>
    <s v="C78170"/>
    <x v="3"/>
    <n v="5"/>
    <n v="68.34"/>
    <s v="332 Main St"/>
    <x v="0"/>
    <x v="4"/>
    <s v="TRK71410605"/>
    <n v="6"/>
    <x v="3"/>
    <x v="1"/>
    <n v="341.7"/>
    <n v="341.7"/>
  </r>
  <r>
    <x v="176"/>
    <x v="164"/>
    <x v="2"/>
    <s v="Q2"/>
    <s v="C80151"/>
    <x v="2"/>
    <n v="4"/>
    <n v="430.83"/>
    <s v="553 Main St"/>
    <x v="3"/>
    <x v="4"/>
    <s v="TRK88251529"/>
    <n v="8"/>
    <x v="3"/>
    <x v="1"/>
    <n v="1723.32"/>
    <n v="1723.32"/>
  </r>
  <r>
    <x v="177"/>
    <x v="165"/>
    <x v="0"/>
    <s v="Q3"/>
    <s v="C55632"/>
    <x v="3"/>
    <n v="5"/>
    <n v="431.69"/>
    <s v="354 Main St"/>
    <x v="2"/>
    <x v="4"/>
    <s v="TRK13003066"/>
    <n v="10"/>
    <x v="2"/>
    <x v="3"/>
    <n v="2158.4499999999998"/>
    <n v="2158.4499999999998"/>
  </r>
  <r>
    <x v="178"/>
    <x v="166"/>
    <x v="1"/>
    <s v="Q2"/>
    <s v="C53070"/>
    <x v="3"/>
    <n v="4"/>
    <n v="512.05999999999995"/>
    <s v="283 Main St"/>
    <x v="1"/>
    <x v="3"/>
    <s v="TRK49791755"/>
    <n v="5"/>
    <x v="0"/>
    <x v="4"/>
    <n v="2048.2399999999998"/>
    <n v="2048.2399999999998"/>
  </r>
  <r>
    <x v="179"/>
    <x v="167"/>
    <x v="1"/>
    <s v="Q4"/>
    <s v="C27401"/>
    <x v="5"/>
    <n v="3"/>
    <n v="539.91"/>
    <s v="500 Main St"/>
    <x v="2"/>
    <x v="3"/>
    <s v="TRK14332053"/>
    <n v="8"/>
    <x v="2"/>
    <x v="2"/>
    <n v="1619.73"/>
    <n v="1619.73"/>
  </r>
  <r>
    <x v="180"/>
    <x v="168"/>
    <x v="0"/>
    <s v="Q1"/>
    <s v="C87216"/>
    <x v="2"/>
    <n v="5"/>
    <n v="316.07"/>
    <s v="970 Main St"/>
    <x v="4"/>
    <x v="2"/>
    <s v="TRK18713727"/>
    <n v="10"/>
    <x v="2"/>
    <x v="4"/>
    <n v="1580.35"/>
    <n v="1580.35"/>
  </r>
  <r>
    <x v="181"/>
    <x v="169"/>
    <x v="1"/>
    <s v="Q3"/>
    <s v="C38966"/>
    <x v="4"/>
    <n v="5"/>
    <n v="404.39"/>
    <s v="247 Main St"/>
    <x v="1"/>
    <x v="0"/>
    <s v="TRK17205146"/>
    <n v="10"/>
    <x v="2"/>
    <x v="1"/>
    <n v="2021.95"/>
    <n v="2021.95"/>
  </r>
  <r>
    <x v="182"/>
    <x v="170"/>
    <x v="2"/>
    <s v="Q1"/>
    <s v="C16612"/>
    <x v="6"/>
    <n v="1"/>
    <n v="600.54"/>
    <s v="596 Main St"/>
    <x v="0"/>
    <x v="4"/>
    <s v="TRK96188223"/>
    <n v="4"/>
    <x v="3"/>
    <x v="4"/>
    <n v="600.54"/>
    <n v="600.54"/>
  </r>
  <r>
    <x v="183"/>
    <x v="171"/>
    <x v="1"/>
    <s v="Q2"/>
    <s v="C39246"/>
    <x v="0"/>
    <n v="5"/>
    <n v="186.28"/>
    <s v="258 Main St"/>
    <x v="0"/>
    <x v="3"/>
    <s v="TRK16658182"/>
    <n v="8"/>
    <x v="0"/>
    <x v="2"/>
    <n v="931.4"/>
    <n v="931.4"/>
  </r>
  <r>
    <x v="184"/>
    <x v="172"/>
    <x v="1"/>
    <s v="Q2"/>
    <s v="C65180"/>
    <x v="2"/>
    <n v="4"/>
    <n v="214.54"/>
    <s v="231 Main St"/>
    <x v="3"/>
    <x v="1"/>
    <s v="TRK39255469"/>
    <n v="7"/>
    <x v="2"/>
    <x v="1"/>
    <n v="858.16"/>
    <n v="858.16"/>
  </r>
  <r>
    <x v="185"/>
    <x v="61"/>
    <x v="2"/>
    <s v="Q1"/>
    <s v="C46877"/>
    <x v="5"/>
    <n v="1"/>
    <n v="210.7"/>
    <s v="572 Main St"/>
    <x v="1"/>
    <x v="0"/>
    <s v="TRK96935978"/>
    <n v="2"/>
    <x v="3"/>
    <x v="1"/>
    <n v="210.7"/>
    <n v="210.7"/>
  </r>
  <r>
    <x v="186"/>
    <x v="173"/>
    <x v="0"/>
    <s v="Q4"/>
    <s v="C30334"/>
    <x v="1"/>
    <n v="2"/>
    <n v="133.55000000000001"/>
    <s v="322 Main St"/>
    <x v="4"/>
    <x v="4"/>
    <s v="TRK66388885"/>
    <n v="7"/>
    <x v="1"/>
    <x v="3"/>
    <n v="267.10000000000002"/>
    <n v="267.10000000000002"/>
  </r>
  <r>
    <x v="187"/>
    <x v="174"/>
    <x v="0"/>
    <s v="Q1"/>
    <s v="C21227"/>
    <x v="3"/>
    <n v="1"/>
    <n v="590.87"/>
    <s v="689 Main St"/>
    <x v="3"/>
    <x v="2"/>
    <s v="TRK79129657"/>
    <n v="6"/>
    <x v="1"/>
    <x v="1"/>
    <n v="590.87"/>
    <n v="590.87"/>
  </r>
  <r>
    <x v="188"/>
    <x v="175"/>
    <x v="2"/>
    <s v="Q1"/>
    <s v="C97715"/>
    <x v="3"/>
    <n v="2"/>
    <n v="363.91"/>
    <s v="927 Main St"/>
    <x v="3"/>
    <x v="0"/>
    <s v="TRK19515949"/>
    <n v="2"/>
    <x v="1"/>
    <x v="1"/>
    <n v="727.82"/>
    <n v="727.82"/>
  </r>
  <r>
    <x v="189"/>
    <x v="176"/>
    <x v="0"/>
    <s v="Q3"/>
    <s v="C48939"/>
    <x v="4"/>
    <n v="5"/>
    <n v="429.45"/>
    <s v="597 Main St"/>
    <x v="3"/>
    <x v="1"/>
    <s v="TRK62786764"/>
    <n v="5"/>
    <x v="3"/>
    <x v="2"/>
    <n v="2147.25"/>
    <n v="2147.25"/>
  </r>
  <r>
    <x v="190"/>
    <x v="169"/>
    <x v="1"/>
    <s v="Q3"/>
    <s v="C35483"/>
    <x v="4"/>
    <n v="3"/>
    <n v="223.7"/>
    <s v="725 Main St"/>
    <x v="4"/>
    <x v="2"/>
    <s v="TRK79638203"/>
    <n v="3"/>
    <x v="0"/>
    <x v="2"/>
    <n v="671.1"/>
    <n v="671.1"/>
  </r>
  <r>
    <x v="191"/>
    <x v="177"/>
    <x v="2"/>
    <s v="Q1"/>
    <s v="C51494"/>
    <x v="5"/>
    <n v="2"/>
    <n v="488.87"/>
    <s v="505 Main St"/>
    <x v="1"/>
    <x v="1"/>
    <s v="TRK58520306"/>
    <n v="4"/>
    <x v="1"/>
    <x v="4"/>
    <n v="977.74"/>
    <n v="977.74"/>
  </r>
  <r>
    <x v="192"/>
    <x v="178"/>
    <x v="0"/>
    <s v="Q3"/>
    <s v="C58410"/>
    <x v="6"/>
    <n v="1"/>
    <n v="645.46"/>
    <s v="151 Main St"/>
    <x v="3"/>
    <x v="1"/>
    <s v="TRK19749672"/>
    <n v="5"/>
    <x v="0"/>
    <x v="4"/>
    <n v="645.46"/>
    <n v="645.46"/>
  </r>
  <r>
    <x v="193"/>
    <x v="179"/>
    <x v="0"/>
    <s v="Q3"/>
    <s v="C11644"/>
    <x v="4"/>
    <n v="1"/>
    <n v="46.66"/>
    <s v="429 Main St"/>
    <x v="4"/>
    <x v="1"/>
    <s v="TRK81320339"/>
    <n v="6"/>
    <x v="2"/>
    <x v="4"/>
    <n v="46.66"/>
    <n v="46.66"/>
  </r>
  <r>
    <x v="194"/>
    <x v="180"/>
    <x v="1"/>
    <s v="Q2"/>
    <s v="C53501"/>
    <x v="0"/>
    <n v="1"/>
    <n v="249.57"/>
    <s v="899 Main St"/>
    <x v="4"/>
    <x v="0"/>
    <s v="TRK90144892"/>
    <n v="3"/>
    <x v="1"/>
    <x v="4"/>
    <n v="249.57"/>
    <n v="249.57"/>
  </r>
  <r>
    <x v="195"/>
    <x v="181"/>
    <x v="1"/>
    <s v="Q2"/>
    <s v="C63619"/>
    <x v="3"/>
    <n v="3"/>
    <n v="619.21"/>
    <s v="801 Main St"/>
    <x v="0"/>
    <x v="1"/>
    <s v="TRK65385674"/>
    <n v="6"/>
    <x v="2"/>
    <x v="2"/>
    <n v="1857.63"/>
    <n v="1857.63"/>
  </r>
  <r>
    <x v="196"/>
    <x v="182"/>
    <x v="2"/>
    <s v="Q1"/>
    <s v="C40882"/>
    <x v="6"/>
    <n v="4"/>
    <n v="217.13"/>
    <s v="719 Main St"/>
    <x v="4"/>
    <x v="3"/>
    <s v="TRK64165503"/>
    <n v="8"/>
    <x v="3"/>
    <x v="2"/>
    <n v="868.52"/>
    <n v="868.52"/>
  </r>
  <r>
    <x v="197"/>
    <x v="183"/>
    <x v="0"/>
    <s v="Q3"/>
    <s v="C80135"/>
    <x v="5"/>
    <n v="5"/>
    <n v="221.51"/>
    <s v="723 Main St"/>
    <x v="4"/>
    <x v="2"/>
    <s v="TRK95222269"/>
    <n v="5"/>
    <x v="3"/>
    <x v="1"/>
    <n v="1107.55"/>
    <n v="1107.55"/>
  </r>
  <r>
    <x v="198"/>
    <x v="184"/>
    <x v="1"/>
    <s v="Q2"/>
    <s v="C37594"/>
    <x v="5"/>
    <n v="4"/>
    <n v="340.3"/>
    <s v="926 Main St"/>
    <x v="4"/>
    <x v="1"/>
    <s v="TRK94405162"/>
    <n v="8"/>
    <x v="0"/>
    <x v="1"/>
    <n v="1361.2"/>
    <n v="1361.2"/>
  </r>
  <r>
    <x v="199"/>
    <x v="185"/>
    <x v="2"/>
    <s v="Q1"/>
    <s v="C87524"/>
    <x v="1"/>
    <n v="1"/>
    <n v="625"/>
    <s v="358 Main St"/>
    <x v="1"/>
    <x v="2"/>
    <s v="TRK21114341"/>
    <n v="5"/>
    <x v="3"/>
    <x v="4"/>
    <n v="625"/>
    <n v="625"/>
  </r>
  <r>
    <x v="200"/>
    <x v="186"/>
    <x v="2"/>
    <s v="Q2"/>
    <s v="C97681"/>
    <x v="2"/>
    <n v="5"/>
    <n v="433.26"/>
    <s v="895 Main St"/>
    <x v="2"/>
    <x v="3"/>
    <s v="TRK37531040"/>
    <n v="9"/>
    <x v="0"/>
    <x v="4"/>
    <n v="2166.3000000000002"/>
    <n v="2166.3000000000002"/>
  </r>
  <r>
    <x v="201"/>
    <x v="187"/>
    <x v="0"/>
    <s v="Q2"/>
    <s v="C10126"/>
    <x v="0"/>
    <n v="2"/>
    <n v="674.9"/>
    <s v="146 Main St"/>
    <x v="1"/>
    <x v="0"/>
    <s v="TRK75607531"/>
    <n v="4"/>
    <x v="0"/>
    <x v="3"/>
    <n v="1349.8"/>
    <n v="1349.8"/>
  </r>
  <r>
    <x v="202"/>
    <x v="188"/>
    <x v="2"/>
    <s v="Q1"/>
    <s v="C36938"/>
    <x v="0"/>
    <n v="3"/>
    <n v="253.98"/>
    <s v="636 Main St"/>
    <x v="2"/>
    <x v="1"/>
    <s v="TRK52522904"/>
    <n v="3"/>
    <x v="1"/>
    <x v="2"/>
    <n v="761.94"/>
    <n v="761.94"/>
  </r>
  <r>
    <x v="203"/>
    <x v="94"/>
    <x v="2"/>
    <s v="Q1"/>
    <s v="C99173"/>
    <x v="4"/>
    <n v="3"/>
    <n v="356.84"/>
    <s v="172 Main St"/>
    <x v="1"/>
    <x v="0"/>
    <s v="TRK89849342"/>
    <n v="5"/>
    <x v="0"/>
    <x v="0"/>
    <n v="1070.52"/>
    <n v="1070.52"/>
  </r>
  <r>
    <x v="204"/>
    <x v="189"/>
    <x v="0"/>
    <s v="Q3"/>
    <s v="C99775"/>
    <x v="5"/>
    <n v="4"/>
    <n v="413.71"/>
    <s v="478 Main St"/>
    <x v="3"/>
    <x v="1"/>
    <s v="TRK21638425"/>
    <n v="9"/>
    <x v="1"/>
    <x v="3"/>
    <n v="1654.84"/>
    <n v="1654.84"/>
  </r>
  <r>
    <x v="205"/>
    <x v="190"/>
    <x v="0"/>
    <s v="Q1"/>
    <s v="C19266"/>
    <x v="6"/>
    <n v="3"/>
    <n v="147.38999999999999"/>
    <s v="609 Main St"/>
    <x v="0"/>
    <x v="2"/>
    <s v="TRK58357269"/>
    <n v="3"/>
    <x v="2"/>
    <x v="2"/>
    <n v="442.17"/>
    <n v="442.17"/>
  </r>
  <r>
    <x v="206"/>
    <x v="162"/>
    <x v="1"/>
    <s v="Q2"/>
    <s v="C31072"/>
    <x v="5"/>
    <n v="4"/>
    <n v="229.1"/>
    <s v="729 Main St"/>
    <x v="3"/>
    <x v="2"/>
    <s v="TRK77172975"/>
    <n v="8"/>
    <x v="3"/>
    <x v="2"/>
    <n v="916.4"/>
    <n v="916.4"/>
  </r>
  <r>
    <x v="207"/>
    <x v="191"/>
    <x v="2"/>
    <s v="Q1"/>
    <s v="C54595"/>
    <x v="1"/>
    <n v="1"/>
    <n v="121.96"/>
    <s v="999 Main St"/>
    <x v="0"/>
    <x v="3"/>
    <s v="TRK44416659"/>
    <n v="3"/>
    <x v="2"/>
    <x v="4"/>
    <n v="121.96"/>
    <n v="121.96"/>
  </r>
  <r>
    <x v="208"/>
    <x v="192"/>
    <x v="1"/>
    <s v="Q4"/>
    <s v="C87777"/>
    <x v="6"/>
    <n v="2"/>
    <n v="408.32"/>
    <s v="597 Main St"/>
    <x v="1"/>
    <x v="0"/>
    <s v="TRK29003608"/>
    <n v="3"/>
    <x v="1"/>
    <x v="3"/>
    <n v="816.64"/>
    <n v="816.64"/>
  </r>
  <r>
    <x v="209"/>
    <x v="193"/>
    <x v="0"/>
    <s v="Q3"/>
    <s v="C35854"/>
    <x v="2"/>
    <n v="5"/>
    <n v="187.97"/>
    <s v="706 Main St"/>
    <x v="4"/>
    <x v="2"/>
    <s v="TRK30615168"/>
    <n v="9"/>
    <x v="0"/>
    <x v="4"/>
    <n v="939.85"/>
    <n v="939.85"/>
  </r>
  <r>
    <x v="210"/>
    <x v="194"/>
    <x v="1"/>
    <s v="Q4"/>
    <s v="C93821"/>
    <x v="3"/>
    <n v="3"/>
    <n v="358.48"/>
    <s v="513 Main St"/>
    <x v="3"/>
    <x v="3"/>
    <s v="TRK10658539"/>
    <n v="7"/>
    <x v="1"/>
    <x v="3"/>
    <n v="1075.44"/>
    <n v="1075.44"/>
  </r>
  <r>
    <x v="211"/>
    <x v="195"/>
    <x v="2"/>
    <s v="Q1"/>
    <s v="C54390"/>
    <x v="4"/>
    <n v="3"/>
    <n v="193.58"/>
    <s v="185 Main St"/>
    <x v="3"/>
    <x v="4"/>
    <s v="TRK83853742"/>
    <n v="7"/>
    <x v="1"/>
    <x v="2"/>
    <n v="580.74"/>
    <n v="580.74"/>
  </r>
  <r>
    <x v="212"/>
    <x v="196"/>
    <x v="0"/>
    <s v="Q2"/>
    <s v="C53215"/>
    <x v="0"/>
    <n v="1"/>
    <n v="265.38"/>
    <s v="367 Main St"/>
    <x v="2"/>
    <x v="1"/>
    <s v="TRK34751835"/>
    <n v="6"/>
    <x v="3"/>
    <x v="2"/>
    <n v="265.38"/>
    <n v="265.38"/>
  </r>
  <r>
    <x v="213"/>
    <x v="197"/>
    <x v="0"/>
    <s v="Q2"/>
    <s v="C71122"/>
    <x v="5"/>
    <n v="1"/>
    <n v="634.4"/>
    <s v="317 Main St"/>
    <x v="4"/>
    <x v="1"/>
    <s v="TRK54757882"/>
    <n v="6"/>
    <x v="0"/>
    <x v="2"/>
    <n v="634.4"/>
    <n v="634.4"/>
  </r>
  <r>
    <x v="214"/>
    <x v="58"/>
    <x v="1"/>
    <s v="Q3"/>
    <s v="C29483"/>
    <x v="6"/>
    <n v="4"/>
    <n v="305.72000000000003"/>
    <s v="673 Main St"/>
    <x v="1"/>
    <x v="3"/>
    <s v="TRK89423603"/>
    <n v="5"/>
    <x v="2"/>
    <x v="3"/>
    <n v="1222.8800000000001"/>
    <n v="1222.8800000000001"/>
  </r>
  <r>
    <x v="215"/>
    <x v="121"/>
    <x v="0"/>
    <s v="Q3"/>
    <s v="C26767"/>
    <x v="4"/>
    <n v="1"/>
    <n v="303.60000000000002"/>
    <s v="432 Main St"/>
    <x v="4"/>
    <x v="0"/>
    <s v="TRK24585307"/>
    <n v="5"/>
    <x v="1"/>
    <x v="3"/>
    <n v="303.60000000000002"/>
    <n v="303.60000000000002"/>
  </r>
  <r>
    <x v="216"/>
    <x v="198"/>
    <x v="2"/>
    <s v="Q2"/>
    <s v="C70492"/>
    <x v="0"/>
    <n v="4"/>
    <n v="496"/>
    <s v="811 Main St"/>
    <x v="1"/>
    <x v="1"/>
    <s v="TRK84625405"/>
    <n v="8"/>
    <x v="3"/>
    <x v="4"/>
    <n v="1984"/>
    <n v="1984"/>
  </r>
  <r>
    <x v="217"/>
    <x v="199"/>
    <x v="1"/>
    <s v="Q2"/>
    <s v="C61549"/>
    <x v="6"/>
    <n v="4"/>
    <n v="321.51"/>
    <s v="908 Main St"/>
    <x v="4"/>
    <x v="2"/>
    <s v="TRK65596914"/>
    <n v="9"/>
    <x v="2"/>
    <x v="4"/>
    <n v="1286.04"/>
    <n v="1286.04"/>
  </r>
  <r>
    <x v="218"/>
    <x v="200"/>
    <x v="0"/>
    <s v="Q2"/>
    <s v="C11665"/>
    <x v="2"/>
    <n v="3"/>
    <n v="112.46"/>
    <s v="882 Main St"/>
    <x v="3"/>
    <x v="0"/>
    <s v="TRK10993930"/>
    <n v="6"/>
    <x v="0"/>
    <x v="0"/>
    <n v="337.38"/>
    <n v="337.38"/>
  </r>
  <r>
    <x v="219"/>
    <x v="201"/>
    <x v="2"/>
    <s v="Q2"/>
    <s v="C48946"/>
    <x v="5"/>
    <n v="5"/>
    <n v="61.97"/>
    <s v="457 Main St"/>
    <x v="4"/>
    <x v="3"/>
    <s v="TRK99387220"/>
    <n v="6"/>
    <x v="0"/>
    <x v="2"/>
    <n v="309.85000000000002"/>
    <n v="309.85000000000002"/>
  </r>
  <r>
    <x v="220"/>
    <x v="202"/>
    <x v="0"/>
    <s v="Q3"/>
    <s v="C79506"/>
    <x v="5"/>
    <n v="2"/>
    <n v="373.17"/>
    <s v="497 Main St"/>
    <x v="2"/>
    <x v="4"/>
    <s v="TRK95188748"/>
    <n v="6"/>
    <x v="0"/>
    <x v="1"/>
    <n v="746.34"/>
    <n v="746.34"/>
  </r>
  <r>
    <x v="221"/>
    <x v="203"/>
    <x v="1"/>
    <s v="Q1"/>
    <s v="C93473"/>
    <x v="2"/>
    <n v="5"/>
    <n v="639.37"/>
    <s v="552 Main St"/>
    <x v="0"/>
    <x v="4"/>
    <s v="TRK50003989"/>
    <n v="6"/>
    <x v="0"/>
    <x v="4"/>
    <n v="3196.85"/>
    <n v="3196.85"/>
  </r>
  <r>
    <x v="222"/>
    <x v="204"/>
    <x v="0"/>
    <s v="Q2"/>
    <s v="C43124"/>
    <x v="3"/>
    <n v="4"/>
    <n v="693.36"/>
    <s v="931 Main St"/>
    <x v="1"/>
    <x v="0"/>
    <s v="TRK17293348"/>
    <n v="8"/>
    <x v="2"/>
    <x v="0"/>
    <n v="2773.44"/>
    <n v="2773.44"/>
  </r>
  <r>
    <x v="223"/>
    <x v="57"/>
    <x v="1"/>
    <s v="Q3"/>
    <s v="C22783"/>
    <x v="1"/>
    <n v="4"/>
    <n v="692.91"/>
    <s v="673 Main St"/>
    <x v="2"/>
    <x v="4"/>
    <s v="TRK55009149"/>
    <n v="9"/>
    <x v="0"/>
    <x v="0"/>
    <n v="2771.64"/>
    <n v="2771.64"/>
  </r>
  <r>
    <x v="224"/>
    <x v="205"/>
    <x v="0"/>
    <s v="Q3"/>
    <s v="C18567"/>
    <x v="4"/>
    <n v="4"/>
    <n v="91.46"/>
    <s v="507 Main St"/>
    <x v="4"/>
    <x v="1"/>
    <s v="TRK17554673"/>
    <n v="9"/>
    <x v="0"/>
    <x v="1"/>
    <n v="365.84"/>
    <n v="365.84"/>
  </r>
  <r>
    <x v="225"/>
    <x v="206"/>
    <x v="1"/>
    <s v="Q1"/>
    <s v="C99879"/>
    <x v="1"/>
    <n v="3"/>
    <n v="273.95999999999998"/>
    <s v="692 Main St"/>
    <x v="0"/>
    <x v="2"/>
    <s v="TRK50246700"/>
    <n v="8"/>
    <x v="0"/>
    <x v="4"/>
    <n v="821.88"/>
    <n v="821.88"/>
  </r>
  <r>
    <x v="226"/>
    <x v="207"/>
    <x v="2"/>
    <s v="Q2"/>
    <s v="C31501"/>
    <x v="6"/>
    <n v="3"/>
    <n v="588.04999999999995"/>
    <s v="242 Main St"/>
    <x v="3"/>
    <x v="3"/>
    <s v="TRK93063929"/>
    <n v="8"/>
    <x v="2"/>
    <x v="0"/>
    <n v="1764.15"/>
    <n v="1764.15"/>
  </r>
  <r>
    <x v="227"/>
    <x v="208"/>
    <x v="0"/>
    <s v="Q4"/>
    <s v="C93220"/>
    <x v="0"/>
    <n v="2"/>
    <n v="365.17"/>
    <s v="353 Main St"/>
    <x v="1"/>
    <x v="1"/>
    <s v="TRK89023251"/>
    <n v="4"/>
    <x v="1"/>
    <x v="3"/>
    <n v="730.34"/>
    <n v="730.34"/>
  </r>
  <r>
    <x v="228"/>
    <x v="209"/>
    <x v="0"/>
    <s v="Q2"/>
    <s v="C57867"/>
    <x v="3"/>
    <n v="4"/>
    <n v="385.92"/>
    <s v="579 Main St"/>
    <x v="2"/>
    <x v="1"/>
    <s v="TRK92055007"/>
    <n v="8"/>
    <x v="2"/>
    <x v="0"/>
    <n v="1543.68"/>
    <n v="1543.68"/>
  </r>
  <r>
    <x v="229"/>
    <x v="210"/>
    <x v="2"/>
    <s v="Q1"/>
    <s v="C62622"/>
    <x v="2"/>
    <n v="1"/>
    <n v="562.61"/>
    <s v="762 Main St"/>
    <x v="2"/>
    <x v="3"/>
    <s v="TRK70997648"/>
    <n v="3"/>
    <x v="3"/>
    <x v="3"/>
    <n v="562.61"/>
    <n v="562.61"/>
  </r>
  <r>
    <x v="230"/>
    <x v="211"/>
    <x v="0"/>
    <s v="Q4"/>
    <s v="C94595"/>
    <x v="6"/>
    <n v="4"/>
    <n v="61.91"/>
    <s v="948 Main St"/>
    <x v="3"/>
    <x v="3"/>
    <s v="TRK24497305"/>
    <n v="6"/>
    <x v="3"/>
    <x v="2"/>
    <n v="247.64"/>
    <n v="247.64"/>
  </r>
  <r>
    <x v="231"/>
    <x v="212"/>
    <x v="0"/>
    <s v="Q4"/>
    <s v="C30955"/>
    <x v="1"/>
    <n v="4"/>
    <n v="41.9"/>
    <s v="327 Main St"/>
    <x v="3"/>
    <x v="4"/>
    <s v="TRK46898848"/>
    <n v="9"/>
    <x v="1"/>
    <x v="0"/>
    <n v="167.6"/>
    <n v="167.6"/>
  </r>
  <r>
    <x v="232"/>
    <x v="213"/>
    <x v="0"/>
    <s v="Q2"/>
    <s v="C20731"/>
    <x v="4"/>
    <n v="4"/>
    <n v="444.44"/>
    <s v="610 Main St"/>
    <x v="0"/>
    <x v="1"/>
    <s v="TRK75568437"/>
    <n v="8"/>
    <x v="3"/>
    <x v="4"/>
    <n v="1777.76"/>
    <n v="1777.76"/>
  </r>
  <r>
    <x v="233"/>
    <x v="214"/>
    <x v="1"/>
    <s v="Q3"/>
    <s v="C30168"/>
    <x v="1"/>
    <n v="3"/>
    <n v="311.33"/>
    <s v="146 Main St"/>
    <x v="4"/>
    <x v="1"/>
    <s v="TRK73699939"/>
    <n v="3"/>
    <x v="3"/>
    <x v="0"/>
    <n v="933.99"/>
    <n v="933.99"/>
  </r>
  <r>
    <x v="234"/>
    <x v="130"/>
    <x v="1"/>
    <s v="Q4"/>
    <s v="C79842"/>
    <x v="4"/>
    <n v="4"/>
    <n v="236.41"/>
    <s v="337 Main St"/>
    <x v="0"/>
    <x v="4"/>
    <s v="TRK26957950"/>
    <n v="7"/>
    <x v="0"/>
    <x v="4"/>
    <n v="945.64"/>
    <n v="945.64"/>
  </r>
  <r>
    <x v="235"/>
    <x v="215"/>
    <x v="0"/>
    <s v="Q1"/>
    <s v="C32854"/>
    <x v="6"/>
    <n v="1"/>
    <n v="65.45"/>
    <s v="815 Main St"/>
    <x v="4"/>
    <x v="4"/>
    <s v="TRK30009218"/>
    <n v="2"/>
    <x v="3"/>
    <x v="4"/>
    <n v="65.45"/>
    <n v="65.45"/>
  </r>
  <r>
    <x v="236"/>
    <x v="107"/>
    <x v="0"/>
    <s v="Q1"/>
    <s v="C14847"/>
    <x v="0"/>
    <n v="1"/>
    <n v="318.81"/>
    <s v="562 Main St"/>
    <x v="0"/>
    <x v="4"/>
    <s v="TRK39663243"/>
    <n v="3"/>
    <x v="3"/>
    <x v="2"/>
    <n v="318.81"/>
    <n v="318.81"/>
  </r>
  <r>
    <x v="237"/>
    <x v="216"/>
    <x v="1"/>
    <s v="Q1"/>
    <s v="C88645"/>
    <x v="0"/>
    <n v="3"/>
    <n v="583.72"/>
    <s v="783 Main St"/>
    <x v="2"/>
    <x v="0"/>
    <s v="TRK74097570"/>
    <n v="5"/>
    <x v="1"/>
    <x v="3"/>
    <n v="1751.16"/>
    <n v="1751.16"/>
  </r>
  <r>
    <x v="238"/>
    <x v="217"/>
    <x v="1"/>
    <s v="Q4"/>
    <s v="C66149"/>
    <x v="6"/>
    <n v="4"/>
    <n v="384.32"/>
    <s v="770 Main St"/>
    <x v="2"/>
    <x v="4"/>
    <s v="TRK76307307"/>
    <n v="6"/>
    <x v="3"/>
    <x v="4"/>
    <n v="1537.28"/>
    <n v="1537.28"/>
  </r>
  <r>
    <x v="239"/>
    <x v="218"/>
    <x v="1"/>
    <s v="Q4"/>
    <s v="C20256"/>
    <x v="2"/>
    <n v="3"/>
    <n v="538.74"/>
    <s v="456 Main St"/>
    <x v="1"/>
    <x v="0"/>
    <s v="TRK71127943"/>
    <n v="6"/>
    <x v="1"/>
    <x v="2"/>
    <n v="1616.22"/>
    <n v="1616.22"/>
  </r>
  <r>
    <x v="240"/>
    <x v="219"/>
    <x v="0"/>
    <s v="Q3"/>
    <s v="C14983"/>
    <x v="2"/>
    <n v="1"/>
    <n v="17.239999999999998"/>
    <s v="255 Main St"/>
    <x v="1"/>
    <x v="4"/>
    <s v="TRK93444157"/>
    <n v="2"/>
    <x v="1"/>
    <x v="0"/>
    <n v="17.239999999999998"/>
    <n v="17.239999999999998"/>
  </r>
  <r>
    <x v="241"/>
    <x v="220"/>
    <x v="0"/>
    <s v="Q2"/>
    <s v="C20817"/>
    <x v="3"/>
    <n v="5"/>
    <n v="615.66999999999996"/>
    <s v="407 Main St"/>
    <x v="1"/>
    <x v="4"/>
    <s v="TRK44164590"/>
    <n v="6"/>
    <x v="0"/>
    <x v="2"/>
    <n v="3078.35"/>
    <n v="3078.35"/>
  </r>
  <r>
    <x v="242"/>
    <x v="221"/>
    <x v="0"/>
    <s v="Q2"/>
    <s v="C94921"/>
    <x v="4"/>
    <n v="2"/>
    <n v="219.1"/>
    <s v="134 Main St"/>
    <x v="1"/>
    <x v="4"/>
    <s v="TRK97794327"/>
    <n v="4"/>
    <x v="0"/>
    <x v="1"/>
    <n v="438.2"/>
    <n v="438.2"/>
  </r>
  <r>
    <x v="243"/>
    <x v="222"/>
    <x v="2"/>
    <s v="Q2"/>
    <s v="C54725"/>
    <x v="3"/>
    <n v="2"/>
    <n v="144.66"/>
    <s v="506 Main St"/>
    <x v="1"/>
    <x v="1"/>
    <s v="TRK30601940"/>
    <n v="7"/>
    <x v="1"/>
    <x v="4"/>
    <n v="289.32"/>
    <n v="289.32"/>
  </r>
  <r>
    <x v="244"/>
    <x v="223"/>
    <x v="0"/>
    <s v="Q1"/>
    <s v="C98096"/>
    <x v="6"/>
    <n v="2"/>
    <n v="317.77"/>
    <s v="838 Main St"/>
    <x v="0"/>
    <x v="1"/>
    <s v="TRK51518631"/>
    <n v="4"/>
    <x v="3"/>
    <x v="3"/>
    <n v="635.54"/>
    <n v="635.54"/>
  </r>
  <r>
    <x v="245"/>
    <x v="224"/>
    <x v="2"/>
    <s v="Q2"/>
    <s v="C12667"/>
    <x v="5"/>
    <n v="1"/>
    <n v="223.3"/>
    <s v="306 Main St"/>
    <x v="1"/>
    <x v="2"/>
    <s v="TRK25390491"/>
    <n v="1"/>
    <x v="2"/>
    <x v="3"/>
    <n v="223.3"/>
    <n v="223.3"/>
  </r>
  <r>
    <x v="246"/>
    <x v="225"/>
    <x v="1"/>
    <s v="Q3"/>
    <s v="C55354"/>
    <x v="6"/>
    <n v="2"/>
    <n v="342.11"/>
    <s v="164 Main St"/>
    <x v="3"/>
    <x v="0"/>
    <s v="TRK15439493"/>
    <n v="2"/>
    <x v="3"/>
    <x v="0"/>
    <n v="684.22"/>
    <n v="684.22"/>
  </r>
  <r>
    <x v="247"/>
    <x v="145"/>
    <x v="0"/>
    <s v="Q3"/>
    <s v="C14600"/>
    <x v="4"/>
    <n v="2"/>
    <n v="220.9"/>
    <s v="785 Main St"/>
    <x v="3"/>
    <x v="0"/>
    <s v="TRK84984764"/>
    <n v="4"/>
    <x v="2"/>
    <x v="2"/>
    <n v="441.8"/>
    <n v="441.8"/>
  </r>
  <r>
    <x v="248"/>
    <x v="226"/>
    <x v="0"/>
    <s v="Q3"/>
    <s v="C97187"/>
    <x v="5"/>
    <n v="1"/>
    <n v="670.54"/>
    <s v="471 Main St"/>
    <x v="4"/>
    <x v="0"/>
    <s v="TRK62283713"/>
    <n v="6"/>
    <x v="1"/>
    <x v="1"/>
    <n v="670.54"/>
    <n v="670.54"/>
  </r>
  <r>
    <x v="249"/>
    <x v="227"/>
    <x v="1"/>
    <s v="Q1"/>
    <s v="C39106"/>
    <x v="4"/>
    <n v="1"/>
    <n v="546.19000000000005"/>
    <s v="245 Main St"/>
    <x v="4"/>
    <x v="4"/>
    <s v="TRK35464433"/>
    <n v="5"/>
    <x v="1"/>
    <x v="1"/>
    <n v="546.19000000000005"/>
    <n v="546.19000000000005"/>
  </r>
  <r>
    <x v="250"/>
    <x v="228"/>
    <x v="0"/>
    <s v="Q2"/>
    <s v="C93379"/>
    <x v="6"/>
    <n v="3"/>
    <n v="42.95"/>
    <s v="318 Main St"/>
    <x v="3"/>
    <x v="2"/>
    <s v="TRK67954150"/>
    <n v="8"/>
    <x v="0"/>
    <x v="2"/>
    <n v="128.85"/>
    <n v="128.85"/>
  </r>
  <r>
    <x v="251"/>
    <x v="229"/>
    <x v="2"/>
    <s v="Q2"/>
    <s v="C93175"/>
    <x v="0"/>
    <n v="4"/>
    <n v="14.69"/>
    <s v="814 Main St"/>
    <x v="4"/>
    <x v="1"/>
    <s v="TRK32995144"/>
    <n v="9"/>
    <x v="2"/>
    <x v="2"/>
    <n v="58.76"/>
    <n v="58.76"/>
  </r>
  <r>
    <x v="252"/>
    <x v="28"/>
    <x v="1"/>
    <s v="Q3"/>
    <s v="C19648"/>
    <x v="1"/>
    <n v="4"/>
    <n v="668.36"/>
    <s v="821 Main St"/>
    <x v="3"/>
    <x v="1"/>
    <s v="TRK51297879"/>
    <n v="5"/>
    <x v="1"/>
    <x v="3"/>
    <n v="2673.44"/>
    <n v="2673.44"/>
  </r>
  <r>
    <x v="253"/>
    <x v="230"/>
    <x v="1"/>
    <s v="Q1"/>
    <s v="C14891"/>
    <x v="3"/>
    <n v="4"/>
    <n v="413.74"/>
    <s v="743 Main St"/>
    <x v="3"/>
    <x v="2"/>
    <s v="TRK79471534"/>
    <n v="7"/>
    <x v="1"/>
    <x v="0"/>
    <n v="1654.96"/>
    <n v="1654.96"/>
  </r>
  <r>
    <x v="254"/>
    <x v="231"/>
    <x v="0"/>
    <s v="Q4"/>
    <s v="C10866"/>
    <x v="0"/>
    <n v="3"/>
    <n v="263.19"/>
    <s v="770 Main St"/>
    <x v="1"/>
    <x v="3"/>
    <s v="TRK34809583"/>
    <n v="5"/>
    <x v="2"/>
    <x v="0"/>
    <n v="789.57"/>
    <n v="789.57"/>
  </r>
  <r>
    <x v="255"/>
    <x v="232"/>
    <x v="1"/>
    <s v="Q2"/>
    <s v="C47283"/>
    <x v="0"/>
    <n v="1"/>
    <n v="263.95999999999998"/>
    <s v="806 Main St"/>
    <x v="3"/>
    <x v="2"/>
    <s v="TRK56235117"/>
    <n v="2"/>
    <x v="0"/>
    <x v="4"/>
    <n v="263.95999999999998"/>
    <n v="263.95999999999998"/>
  </r>
  <r>
    <x v="256"/>
    <x v="233"/>
    <x v="2"/>
    <s v="Q2"/>
    <s v="C94323"/>
    <x v="3"/>
    <n v="5"/>
    <n v="75.81"/>
    <s v="463 Main St"/>
    <x v="3"/>
    <x v="2"/>
    <s v="TRK22663277"/>
    <n v="10"/>
    <x v="3"/>
    <x v="0"/>
    <n v="379.05"/>
    <n v="379.05"/>
  </r>
  <r>
    <x v="257"/>
    <x v="234"/>
    <x v="1"/>
    <s v="Q2"/>
    <s v="C89732"/>
    <x v="1"/>
    <n v="1"/>
    <n v="406.22"/>
    <s v="712 Main St"/>
    <x v="2"/>
    <x v="1"/>
    <s v="TRK41059233"/>
    <n v="5"/>
    <x v="0"/>
    <x v="1"/>
    <n v="406.22"/>
    <n v="406.22"/>
  </r>
  <r>
    <x v="258"/>
    <x v="235"/>
    <x v="1"/>
    <s v="Q1"/>
    <s v="C87764"/>
    <x v="2"/>
    <n v="2"/>
    <n v="103.41"/>
    <s v="294 Main St"/>
    <x v="1"/>
    <x v="0"/>
    <s v="TRK94082469"/>
    <n v="2"/>
    <x v="1"/>
    <x v="1"/>
    <n v="206.82"/>
    <n v="206.82"/>
  </r>
  <r>
    <x v="259"/>
    <x v="236"/>
    <x v="0"/>
    <s v="Q2"/>
    <s v="C20977"/>
    <x v="3"/>
    <n v="4"/>
    <n v="435.12"/>
    <s v="636 Main St"/>
    <x v="2"/>
    <x v="3"/>
    <s v="TRK54991561"/>
    <n v="9"/>
    <x v="0"/>
    <x v="0"/>
    <n v="1740.48"/>
    <n v="1740.48"/>
  </r>
  <r>
    <x v="260"/>
    <x v="209"/>
    <x v="0"/>
    <s v="Q2"/>
    <s v="C12245"/>
    <x v="0"/>
    <n v="2"/>
    <n v="407.79"/>
    <s v="153 Main St"/>
    <x v="0"/>
    <x v="0"/>
    <s v="TRK22000463"/>
    <n v="3"/>
    <x v="2"/>
    <x v="4"/>
    <n v="815.58"/>
    <n v="815.58"/>
  </r>
  <r>
    <x v="261"/>
    <x v="237"/>
    <x v="2"/>
    <s v="Q2"/>
    <s v="C68976"/>
    <x v="1"/>
    <n v="5"/>
    <n v="173.65"/>
    <s v="460 Main St"/>
    <x v="3"/>
    <x v="3"/>
    <s v="TRK25491356"/>
    <n v="9"/>
    <x v="0"/>
    <x v="2"/>
    <n v="868.25"/>
    <n v="868.25"/>
  </r>
  <r>
    <x v="262"/>
    <x v="238"/>
    <x v="0"/>
    <s v="Q1"/>
    <s v="C69476"/>
    <x v="1"/>
    <n v="4"/>
    <n v="249.07"/>
    <s v="642 Main St"/>
    <x v="2"/>
    <x v="2"/>
    <s v="TRK65869386"/>
    <n v="5"/>
    <x v="3"/>
    <x v="1"/>
    <n v="996.28"/>
    <n v="996.28"/>
  </r>
  <r>
    <x v="263"/>
    <x v="239"/>
    <x v="0"/>
    <s v="Q1"/>
    <s v="C71040"/>
    <x v="1"/>
    <n v="4"/>
    <n v="434.85"/>
    <s v="250 Main St"/>
    <x v="2"/>
    <x v="4"/>
    <s v="TRK41397604"/>
    <n v="4"/>
    <x v="3"/>
    <x v="4"/>
    <n v="1739.4"/>
    <n v="1739.4"/>
  </r>
  <r>
    <x v="264"/>
    <x v="240"/>
    <x v="1"/>
    <s v="Q3"/>
    <s v="C71035"/>
    <x v="2"/>
    <n v="1"/>
    <n v="436.77"/>
    <s v="977 Main St"/>
    <x v="4"/>
    <x v="2"/>
    <s v="TRK19599578"/>
    <n v="5"/>
    <x v="1"/>
    <x v="4"/>
    <n v="436.77"/>
    <n v="436.77"/>
  </r>
  <r>
    <x v="265"/>
    <x v="241"/>
    <x v="0"/>
    <s v="Q4"/>
    <s v="C20752"/>
    <x v="4"/>
    <n v="1"/>
    <n v="572.13"/>
    <s v="150 Main St"/>
    <x v="0"/>
    <x v="1"/>
    <s v="TRK22298450"/>
    <n v="4"/>
    <x v="0"/>
    <x v="4"/>
    <n v="572.13"/>
    <n v="572.13"/>
  </r>
  <r>
    <x v="266"/>
    <x v="180"/>
    <x v="1"/>
    <s v="Q2"/>
    <s v="C38840"/>
    <x v="3"/>
    <n v="4"/>
    <n v="583.07000000000005"/>
    <s v="589 Main St"/>
    <x v="2"/>
    <x v="1"/>
    <s v="TRK48484633"/>
    <n v="6"/>
    <x v="1"/>
    <x v="1"/>
    <n v="2332.2800000000002"/>
    <n v="2332.2800000000002"/>
  </r>
  <r>
    <x v="267"/>
    <x v="242"/>
    <x v="2"/>
    <s v="Q2"/>
    <s v="C84480"/>
    <x v="3"/>
    <n v="5"/>
    <n v="468.51"/>
    <s v="803 Main St"/>
    <x v="0"/>
    <x v="3"/>
    <s v="TRK62361867"/>
    <n v="9"/>
    <x v="2"/>
    <x v="3"/>
    <n v="2342.5500000000002"/>
    <n v="2342.5500000000002"/>
  </r>
  <r>
    <x v="268"/>
    <x v="178"/>
    <x v="0"/>
    <s v="Q3"/>
    <s v="C37032"/>
    <x v="1"/>
    <n v="2"/>
    <n v="423.88"/>
    <s v="655 Main St"/>
    <x v="0"/>
    <x v="3"/>
    <s v="TRK48639226"/>
    <n v="7"/>
    <x v="0"/>
    <x v="1"/>
    <n v="847.76"/>
    <n v="847.76"/>
  </r>
  <r>
    <x v="269"/>
    <x v="97"/>
    <x v="0"/>
    <s v="Q4"/>
    <s v="C48942"/>
    <x v="2"/>
    <n v="4"/>
    <n v="663.67"/>
    <s v="129 Main St"/>
    <x v="2"/>
    <x v="4"/>
    <s v="TRK29355120"/>
    <n v="7"/>
    <x v="1"/>
    <x v="4"/>
    <n v="2654.68"/>
    <n v="2654.68"/>
  </r>
  <r>
    <x v="270"/>
    <x v="243"/>
    <x v="0"/>
    <s v="Q2"/>
    <s v="C13540"/>
    <x v="4"/>
    <n v="4"/>
    <n v="309.91000000000003"/>
    <s v="127 Main St"/>
    <x v="0"/>
    <x v="0"/>
    <s v="TRK81087373"/>
    <n v="5"/>
    <x v="3"/>
    <x v="4"/>
    <n v="1239.6400000000001"/>
    <n v="1239.6400000000001"/>
  </r>
  <r>
    <x v="271"/>
    <x v="125"/>
    <x v="0"/>
    <s v="Q1"/>
    <s v="C59572"/>
    <x v="0"/>
    <n v="1"/>
    <n v="542.07000000000005"/>
    <s v="791 Main St"/>
    <x v="4"/>
    <x v="0"/>
    <s v="TRK16792991"/>
    <n v="6"/>
    <x v="3"/>
    <x v="1"/>
    <n v="542.07000000000005"/>
    <n v="542.07000000000005"/>
  </r>
  <r>
    <x v="272"/>
    <x v="244"/>
    <x v="0"/>
    <s v="Q3"/>
    <s v="C29758"/>
    <x v="3"/>
    <n v="2"/>
    <n v="399.32"/>
    <s v="119 Main St"/>
    <x v="1"/>
    <x v="4"/>
    <s v="TRK12990043"/>
    <n v="6"/>
    <x v="3"/>
    <x v="0"/>
    <n v="798.64"/>
    <n v="798.64"/>
  </r>
  <r>
    <x v="273"/>
    <x v="245"/>
    <x v="1"/>
    <s v="Q4"/>
    <s v="C11849"/>
    <x v="2"/>
    <n v="2"/>
    <n v="238.25"/>
    <s v="974 Main St"/>
    <x v="1"/>
    <x v="1"/>
    <s v="TRK91195261"/>
    <n v="7"/>
    <x v="1"/>
    <x v="2"/>
    <n v="476.5"/>
    <n v="476.5"/>
  </r>
  <r>
    <x v="274"/>
    <x v="246"/>
    <x v="0"/>
    <s v="Q1"/>
    <s v="C50967"/>
    <x v="1"/>
    <n v="2"/>
    <n v="182.4"/>
    <s v="884 Main St"/>
    <x v="3"/>
    <x v="1"/>
    <s v="TRK65300814"/>
    <n v="5"/>
    <x v="0"/>
    <x v="1"/>
    <n v="364.8"/>
    <n v="364.8"/>
  </r>
  <r>
    <x v="275"/>
    <x v="247"/>
    <x v="0"/>
    <s v="Q4"/>
    <s v="C80735"/>
    <x v="3"/>
    <n v="2"/>
    <n v="65.069999999999993"/>
    <s v="360 Main St"/>
    <x v="2"/>
    <x v="1"/>
    <s v="TRK99880231"/>
    <n v="4"/>
    <x v="0"/>
    <x v="4"/>
    <n v="130.13999999999999"/>
    <n v="130.13999999999999"/>
  </r>
  <r>
    <x v="276"/>
    <x v="248"/>
    <x v="2"/>
    <s v="Q1"/>
    <s v="C99050"/>
    <x v="4"/>
    <n v="2"/>
    <n v="600.57000000000005"/>
    <s v="654 Main St"/>
    <x v="0"/>
    <x v="2"/>
    <s v="TRK56927089"/>
    <n v="3"/>
    <x v="3"/>
    <x v="0"/>
    <n v="1201.1400000000001"/>
    <n v="1201.1400000000001"/>
  </r>
  <r>
    <x v="277"/>
    <x v="82"/>
    <x v="1"/>
    <s v="Q3"/>
    <s v="C11210"/>
    <x v="3"/>
    <n v="5"/>
    <n v="90.92"/>
    <s v="910 Main St"/>
    <x v="2"/>
    <x v="3"/>
    <s v="TRK44929965"/>
    <n v="9"/>
    <x v="0"/>
    <x v="3"/>
    <n v="454.6"/>
    <n v="454.6"/>
  </r>
  <r>
    <x v="278"/>
    <x v="249"/>
    <x v="1"/>
    <s v="Q4"/>
    <s v="C46015"/>
    <x v="5"/>
    <n v="5"/>
    <n v="362.46"/>
    <s v="299 Main St"/>
    <x v="4"/>
    <x v="3"/>
    <s v="TRK46598430"/>
    <n v="6"/>
    <x v="1"/>
    <x v="0"/>
    <n v="1812.3"/>
    <n v="1812.3"/>
  </r>
  <r>
    <x v="279"/>
    <x v="250"/>
    <x v="0"/>
    <s v="Q4"/>
    <s v="C69167"/>
    <x v="3"/>
    <n v="3"/>
    <n v="55.01"/>
    <s v="263 Main St"/>
    <x v="1"/>
    <x v="4"/>
    <s v="TRK12425655"/>
    <n v="7"/>
    <x v="3"/>
    <x v="2"/>
    <n v="165.03"/>
    <n v="165.03"/>
  </r>
  <r>
    <x v="280"/>
    <x v="14"/>
    <x v="0"/>
    <s v="Q1"/>
    <s v="C55388"/>
    <x v="2"/>
    <n v="3"/>
    <n v="404.62"/>
    <s v="740 Main St"/>
    <x v="3"/>
    <x v="3"/>
    <s v="TRK75741001"/>
    <n v="6"/>
    <x v="1"/>
    <x v="0"/>
    <n v="1213.8599999999999"/>
    <n v="1213.8599999999999"/>
  </r>
  <r>
    <x v="281"/>
    <x v="152"/>
    <x v="0"/>
    <s v="Q3"/>
    <s v="C87181"/>
    <x v="6"/>
    <n v="4"/>
    <n v="654.79"/>
    <s v="195 Main St"/>
    <x v="4"/>
    <x v="4"/>
    <s v="TRK60093390"/>
    <n v="9"/>
    <x v="2"/>
    <x v="1"/>
    <n v="2619.16"/>
    <n v="2619.16"/>
  </r>
  <r>
    <x v="282"/>
    <x v="251"/>
    <x v="2"/>
    <s v="Q2"/>
    <s v="C30411"/>
    <x v="4"/>
    <n v="4"/>
    <n v="637.79"/>
    <s v="375 Main St"/>
    <x v="3"/>
    <x v="1"/>
    <s v="TRK71810536"/>
    <n v="9"/>
    <x v="1"/>
    <x v="4"/>
    <n v="2551.16"/>
    <n v="2551.16"/>
  </r>
  <r>
    <x v="283"/>
    <x v="252"/>
    <x v="2"/>
    <s v="Q1"/>
    <s v="C39638"/>
    <x v="5"/>
    <n v="4"/>
    <n v="540.33000000000004"/>
    <s v="990 Main St"/>
    <x v="4"/>
    <x v="0"/>
    <s v="TRK69745608"/>
    <n v="6"/>
    <x v="2"/>
    <x v="4"/>
    <n v="2161.3200000000002"/>
    <n v="2161.3200000000002"/>
  </r>
  <r>
    <x v="284"/>
    <x v="223"/>
    <x v="0"/>
    <s v="Q1"/>
    <s v="C27203"/>
    <x v="5"/>
    <n v="5"/>
    <n v="208.17"/>
    <s v="516 Main St"/>
    <x v="2"/>
    <x v="2"/>
    <s v="TRK22023906"/>
    <n v="6"/>
    <x v="0"/>
    <x v="3"/>
    <n v="1040.8499999999999"/>
    <n v="1040.8499999999999"/>
  </r>
  <r>
    <x v="285"/>
    <x v="69"/>
    <x v="2"/>
    <s v="Q2"/>
    <s v="C67583"/>
    <x v="1"/>
    <n v="1"/>
    <n v="338.31"/>
    <s v="974 Main St"/>
    <x v="1"/>
    <x v="3"/>
    <s v="TRK93281700"/>
    <n v="3"/>
    <x v="2"/>
    <x v="4"/>
    <n v="338.31"/>
    <n v="338.31"/>
  </r>
  <r>
    <x v="286"/>
    <x v="253"/>
    <x v="2"/>
    <s v="Q2"/>
    <s v="C70554"/>
    <x v="0"/>
    <n v="3"/>
    <n v="139.44999999999999"/>
    <s v="187 Main St"/>
    <x v="3"/>
    <x v="2"/>
    <s v="TRK61086952"/>
    <n v="8"/>
    <x v="3"/>
    <x v="4"/>
    <n v="418.35"/>
    <n v="418.35"/>
  </r>
  <r>
    <x v="287"/>
    <x v="254"/>
    <x v="0"/>
    <s v="Q4"/>
    <s v="C70437"/>
    <x v="3"/>
    <n v="4"/>
    <n v="655.17999999999995"/>
    <s v="630 Main St"/>
    <x v="1"/>
    <x v="0"/>
    <s v="TRK26628830"/>
    <n v="5"/>
    <x v="2"/>
    <x v="3"/>
    <n v="2620.7199999999998"/>
    <n v="2620.7199999999998"/>
  </r>
  <r>
    <x v="288"/>
    <x v="255"/>
    <x v="0"/>
    <s v="Q1"/>
    <s v="C97643"/>
    <x v="5"/>
    <n v="4"/>
    <n v="512.75"/>
    <s v="537 Main St"/>
    <x v="0"/>
    <x v="2"/>
    <s v="TRK60831391"/>
    <n v="8"/>
    <x v="3"/>
    <x v="4"/>
    <n v="2051"/>
    <n v="2051"/>
  </r>
  <r>
    <x v="289"/>
    <x v="256"/>
    <x v="0"/>
    <s v="Q3"/>
    <s v="C17136"/>
    <x v="3"/>
    <n v="4"/>
    <n v="160.49"/>
    <s v="333 Main St"/>
    <x v="2"/>
    <x v="0"/>
    <s v="TRK55362541"/>
    <n v="8"/>
    <x v="3"/>
    <x v="1"/>
    <n v="641.96"/>
    <n v="641.96"/>
  </r>
  <r>
    <x v="290"/>
    <x v="257"/>
    <x v="0"/>
    <s v="Q2"/>
    <s v="C24901"/>
    <x v="3"/>
    <n v="3"/>
    <n v="99.9"/>
    <s v="258 Main St"/>
    <x v="4"/>
    <x v="3"/>
    <s v="TRK14029489"/>
    <n v="8"/>
    <x v="1"/>
    <x v="3"/>
    <n v="299.7"/>
    <n v="299.7"/>
  </r>
  <r>
    <x v="291"/>
    <x v="258"/>
    <x v="1"/>
    <s v="Q2"/>
    <s v="C61521"/>
    <x v="1"/>
    <n v="2"/>
    <n v="345.01"/>
    <s v="670 Main St"/>
    <x v="2"/>
    <x v="3"/>
    <s v="TRK93676567"/>
    <n v="6"/>
    <x v="1"/>
    <x v="4"/>
    <n v="690.02"/>
    <n v="690.02"/>
  </r>
  <r>
    <x v="292"/>
    <x v="259"/>
    <x v="2"/>
    <s v="Q1"/>
    <s v="C39639"/>
    <x v="0"/>
    <n v="1"/>
    <n v="65.95"/>
    <s v="185 Main St"/>
    <x v="2"/>
    <x v="3"/>
    <s v="TRK31042152"/>
    <n v="5"/>
    <x v="2"/>
    <x v="3"/>
    <n v="65.95"/>
    <n v="65.95"/>
  </r>
  <r>
    <x v="293"/>
    <x v="223"/>
    <x v="0"/>
    <s v="Q1"/>
    <s v="C33220"/>
    <x v="2"/>
    <n v="4"/>
    <n v="463.04"/>
    <s v="564 Main St"/>
    <x v="3"/>
    <x v="2"/>
    <s v="TRK40450219"/>
    <n v="9"/>
    <x v="2"/>
    <x v="0"/>
    <n v="1852.16"/>
    <n v="1852.16"/>
  </r>
  <r>
    <x v="294"/>
    <x v="260"/>
    <x v="2"/>
    <s v="Q2"/>
    <s v="C65414"/>
    <x v="1"/>
    <n v="2"/>
    <n v="297.70999999999998"/>
    <s v="208 Main St"/>
    <x v="1"/>
    <x v="0"/>
    <s v="TRK67562517"/>
    <n v="7"/>
    <x v="0"/>
    <x v="1"/>
    <n v="595.41999999999996"/>
    <n v="595.41999999999996"/>
  </r>
  <r>
    <x v="295"/>
    <x v="261"/>
    <x v="0"/>
    <s v="Q1"/>
    <s v="C49009"/>
    <x v="4"/>
    <n v="5"/>
    <n v="107.48"/>
    <s v="278 Main St"/>
    <x v="0"/>
    <x v="1"/>
    <s v="TRK46285799"/>
    <n v="9"/>
    <x v="1"/>
    <x v="2"/>
    <n v="537.4"/>
    <n v="537.4"/>
  </r>
  <r>
    <x v="296"/>
    <x v="83"/>
    <x v="1"/>
    <s v="Q2"/>
    <s v="C48453"/>
    <x v="6"/>
    <n v="5"/>
    <n v="638.79999999999995"/>
    <s v="434 Main St"/>
    <x v="0"/>
    <x v="1"/>
    <s v="TRK52110494"/>
    <n v="10"/>
    <x v="3"/>
    <x v="1"/>
    <n v="3194"/>
    <n v="3194"/>
  </r>
  <r>
    <x v="297"/>
    <x v="262"/>
    <x v="0"/>
    <s v="Q1"/>
    <s v="C68078"/>
    <x v="6"/>
    <n v="2"/>
    <n v="493.88"/>
    <s v="252 Main St"/>
    <x v="2"/>
    <x v="2"/>
    <s v="TRK64862812"/>
    <n v="7"/>
    <x v="0"/>
    <x v="0"/>
    <n v="987.76"/>
    <n v="987.76"/>
  </r>
  <r>
    <x v="298"/>
    <x v="263"/>
    <x v="0"/>
    <s v="Q4"/>
    <s v="C19402"/>
    <x v="4"/>
    <n v="4"/>
    <n v="301.17"/>
    <s v="267 Main St"/>
    <x v="1"/>
    <x v="1"/>
    <s v="TRK97825212"/>
    <n v="6"/>
    <x v="2"/>
    <x v="2"/>
    <n v="1204.68"/>
    <n v="1204.68"/>
  </r>
  <r>
    <x v="299"/>
    <x v="264"/>
    <x v="1"/>
    <s v="Q1"/>
    <s v="C30711"/>
    <x v="0"/>
    <n v="1"/>
    <n v="278.66000000000003"/>
    <s v="856 Main St"/>
    <x v="3"/>
    <x v="1"/>
    <s v="TRK42696593"/>
    <n v="2"/>
    <x v="1"/>
    <x v="0"/>
    <n v="278.66000000000003"/>
    <n v="278.66000000000003"/>
  </r>
  <r>
    <x v="300"/>
    <x v="265"/>
    <x v="1"/>
    <s v="Q3"/>
    <s v="C39000"/>
    <x v="1"/>
    <n v="1"/>
    <n v="287.45999999999998"/>
    <s v="894 Main St"/>
    <x v="0"/>
    <x v="2"/>
    <s v="TRK33753945"/>
    <n v="3"/>
    <x v="1"/>
    <x v="3"/>
    <n v="287.45999999999998"/>
    <n v="287.45999999999998"/>
  </r>
  <r>
    <x v="301"/>
    <x v="67"/>
    <x v="0"/>
    <s v="Q2"/>
    <s v="C31105"/>
    <x v="3"/>
    <n v="1"/>
    <n v="583.99"/>
    <s v="726 Main St"/>
    <x v="4"/>
    <x v="1"/>
    <s v="TRK40149095"/>
    <n v="2"/>
    <x v="0"/>
    <x v="2"/>
    <n v="583.99"/>
    <n v="583.99"/>
  </r>
  <r>
    <x v="302"/>
    <x v="220"/>
    <x v="0"/>
    <s v="Q2"/>
    <s v="C29432"/>
    <x v="3"/>
    <n v="3"/>
    <n v="468.74"/>
    <s v="121 Main St"/>
    <x v="4"/>
    <x v="4"/>
    <s v="TRK44142517"/>
    <n v="4"/>
    <x v="1"/>
    <x v="0"/>
    <n v="1406.22"/>
    <n v="1406.22"/>
  </r>
  <r>
    <x v="303"/>
    <x v="34"/>
    <x v="1"/>
    <s v="Q4"/>
    <s v="C48531"/>
    <x v="2"/>
    <n v="1"/>
    <n v="30.54"/>
    <s v="368 Main St"/>
    <x v="0"/>
    <x v="2"/>
    <s v="TRK95462192"/>
    <n v="1"/>
    <x v="2"/>
    <x v="4"/>
    <n v="30.54"/>
    <n v="30.54"/>
  </r>
  <r>
    <x v="304"/>
    <x v="266"/>
    <x v="1"/>
    <s v="Q4"/>
    <s v="C86762"/>
    <x v="0"/>
    <n v="5"/>
    <n v="408.73"/>
    <s v="326 Main St"/>
    <x v="3"/>
    <x v="3"/>
    <s v="TRK75686292"/>
    <n v="10"/>
    <x v="1"/>
    <x v="0"/>
    <n v="2043.65"/>
    <n v="2043.65"/>
  </r>
  <r>
    <x v="305"/>
    <x v="97"/>
    <x v="0"/>
    <s v="Q4"/>
    <s v="C63822"/>
    <x v="5"/>
    <n v="4"/>
    <n v="126.89"/>
    <s v="235 Main St"/>
    <x v="4"/>
    <x v="4"/>
    <s v="TRK59353216"/>
    <n v="9"/>
    <x v="1"/>
    <x v="0"/>
    <n v="507.56"/>
    <n v="507.56"/>
  </r>
  <r>
    <x v="306"/>
    <x v="267"/>
    <x v="1"/>
    <s v="Q2"/>
    <s v="C70495"/>
    <x v="4"/>
    <n v="2"/>
    <n v="57.07"/>
    <s v="238 Main St"/>
    <x v="0"/>
    <x v="2"/>
    <s v="TRK65511225"/>
    <n v="3"/>
    <x v="0"/>
    <x v="0"/>
    <n v="114.14"/>
    <n v="114.14"/>
  </r>
  <r>
    <x v="307"/>
    <x v="268"/>
    <x v="0"/>
    <s v="Q3"/>
    <s v="C92407"/>
    <x v="5"/>
    <n v="3"/>
    <n v="557.41"/>
    <s v="135 Main St"/>
    <x v="1"/>
    <x v="3"/>
    <s v="TRK11755610"/>
    <n v="4"/>
    <x v="2"/>
    <x v="2"/>
    <n v="1672.23"/>
    <n v="1672.23"/>
  </r>
  <r>
    <x v="308"/>
    <x v="66"/>
    <x v="0"/>
    <s v="Q4"/>
    <s v="C75888"/>
    <x v="4"/>
    <n v="3"/>
    <n v="448.9"/>
    <s v="790 Main St"/>
    <x v="0"/>
    <x v="2"/>
    <s v="TRK98467398"/>
    <n v="7"/>
    <x v="0"/>
    <x v="0"/>
    <n v="1346.7"/>
    <n v="1346.7"/>
  </r>
  <r>
    <x v="309"/>
    <x v="269"/>
    <x v="0"/>
    <s v="Q4"/>
    <s v="C63153"/>
    <x v="3"/>
    <n v="4"/>
    <n v="549.76"/>
    <s v="625 Main St"/>
    <x v="0"/>
    <x v="3"/>
    <s v="TRK38033305"/>
    <n v="4"/>
    <x v="1"/>
    <x v="3"/>
    <n v="2199.04"/>
    <n v="2199.04"/>
  </r>
  <r>
    <x v="310"/>
    <x v="270"/>
    <x v="1"/>
    <s v="Q1"/>
    <s v="C85863"/>
    <x v="4"/>
    <n v="3"/>
    <n v="132.47999999999999"/>
    <s v="968 Main St"/>
    <x v="1"/>
    <x v="0"/>
    <s v="TRK16094218"/>
    <n v="4"/>
    <x v="2"/>
    <x v="1"/>
    <n v="397.44"/>
    <n v="397.44"/>
  </r>
  <r>
    <x v="311"/>
    <x v="271"/>
    <x v="2"/>
    <s v="Q2"/>
    <s v="C71698"/>
    <x v="6"/>
    <n v="5"/>
    <n v="489.37"/>
    <s v="274 Main St"/>
    <x v="1"/>
    <x v="2"/>
    <s v="TRK34786818"/>
    <n v="8"/>
    <x v="2"/>
    <x v="0"/>
    <n v="2446.85"/>
    <n v="2446.85"/>
  </r>
  <r>
    <x v="312"/>
    <x v="272"/>
    <x v="2"/>
    <s v="Q2"/>
    <s v="C35397"/>
    <x v="4"/>
    <n v="5"/>
    <n v="66.31"/>
    <s v="579 Main St"/>
    <x v="3"/>
    <x v="4"/>
    <s v="TRK64742535"/>
    <n v="7"/>
    <x v="1"/>
    <x v="1"/>
    <n v="331.55"/>
    <n v="331.55"/>
  </r>
  <r>
    <x v="313"/>
    <x v="273"/>
    <x v="0"/>
    <s v="Q3"/>
    <s v="C67687"/>
    <x v="3"/>
    <n v="2"/>
    <n v="434.3"/>
    <s v="978 Main St"/>
    <x v="4"/>
    <x v="3"/>
    <s v="TRK22838735"/>
    <n v="7"/>
    <x v="0"/>
    <x v="0"/>
    <n v="868.6"/>
    <n v="868.6"/>
  </r>
  <r>
    <x v="314"/>
    <x v="274"/>
    <x v="0"/>
    <s v="Q4"/>
    <s v="C29931"/>
    <x v="6"/>
    <n v="4"/>
    <n v="153.09"/>
    <s v="540 Main St"/>
    <x v="1"/>
    <x v="3"/>
    <s v="TRK48712417"/>
    <n v="4"/>
    <x v="1"/>
    <x v="1"/>
    <n v="612.36"/>
    <n v="612.36"/>
  </r>
  <r>
    <x v="315"/>
    <x v="275"/>
    <x v="2"/>
    <s v="Q2"/>
    <s v="C59139"/>
    <x v="2"/>
    <n v="5"/>
    <n v="91.67"/>
    <s v="301 Main St"/>
    <x v="1"/>
    <x v="1"/>
    <s v="TRK45507090"/>
    <n v="9"/>
    <x v="1"/>
    <x v="2"/>
    <n v="458.35"/>
    <n v="458.35"/>
  </r>
  <r>
    <x v="316"/>
    <x v="276"/>
    <x v="0"/>
    <s v="Q4"/>
    <s v="C66078"/>
    <x v="6"/>
    <n v="4"/>
    <n v="275.27999999999997"/>
    <s v="101 Main St"/>
    <x v="3"/>
    <x v="0"/>
    <s v="TRK86474559"/>
    <n v="9"/>
    <x v="3"/>
    <x v="3"/>
    <n v="1101.1199999999999"/>
    <n v="1101.1199999999999"/>
  </r>
  <r>
    <x v="317"/>
    <x v="132"/>
    <x v="0"/>
    <s v="Q2"/>
    <s v="C88370"/>
    <x v="0"/>
    <n v="2"/>
    <n v="139.94999999999999"/>
    <s v="339 Main St"/>
    <x v="1"/>
    <x v="2"/>
    <s v="TRK22575151"/>
    <n v="5"/>
    <x v="2"/>
    <x v="0"/>
    <n v="279.89999999999998"/>
    <n v="279.89999999999998"/>
  </r>
  <r>
    <x v="318"/>
    <x v="277"/>
    <x v="1"/>
    <s v="Q3"/>
    <s v="C93375"/>
    <x v="3"/>
    <n v="3"/>
    <n v="148.72"/>
    <s v="317 Main St"/>
    <x v="0"/>
    <x v="1"/>
    <s v="TRK95706967"/>
    <n v="7"/>
    <x v="0"/>
    <x v="4"/>
    <n v="446.16"/>
    <n v="446.16"/>
  </r>
  <r>
    <x v="319"/>
    <x v="278"/>
    <x v="0"/>
    <s v="Q4"/>
    <s v="C53049"/>
    <x v="5"/>
    <n v="2"/>
    <n v="563.05999999999995"/>
    <s v="413 Main St"/>
    <x v="4"/>
    <x v="2"/>
    <s v="TRK48974907"/>
    <n v="6"/>
    <x v="2"/>
    <x v="0"/>
    <n v="1126.1199999999999"/>
    <n v="1126.1199999999999"/>
  </r>
  <r>
    <x v="320"/>
    <x v="36"/>
    <x v="1"/>
    <s v="Q4"/>
    <s v="C55590"/>
    <x v="4"/>
    <n v="1"/>
    <n v="625.51"/>
    <s v="772 Main St"/>
    <x v="2"/>
    <x v="0"/>
    <s v="TRK48792951"/>
    <n v="1"/>
    <x v="1"/>
    <x v="3"/>
    <n v="625.51"/>
    <n v="625.51"/>
  </r>
  <r>
    <x v="321"/>
    <x v="279"/>
    <x v="0"/>
    <s v="Q3"/>
    <s v="C47086"/>
    <x v="1"/>
    <n v="4"/>
    <n v="152.29"/>
    <s v="135 Main St"/>
    <x v="0"/>
    <x v="1"/>
    <s v="TRK44194358"/>
    <n v="6"/>
    <x v="3"/>
    <x v="4"/>
    <n v="609.16"/>
    <n v="609.16"/>
  </r>
  <r>
    <x v="322"/>
    <x v="280"/>
    <x v="1"/>
    <s v="Q2"/>
    <s v="C48646"/>
    <x v="1"/>
    <n v="5"/>
    <n v="231.82"/>
    <s v="339 Main St"/>
    <x v="0"/>
    <x v="3"/>
    <s v="TRK18233748"/>
    <n v="6"/>
    <x v="0"/>
    <x v="3"/>
    <n v="1159.0999999999999"/>
    <n v="1159.0999999999999"/>
  </r>
  <r>
    <x v="323"/>
    <x v="281"/>
    <x v="2"/>
    <s v="Q1"/>
    <s v="C29416"/>
    <x v="5"/>
    <n v="1"/>
    <n v="150.16999999999999"/>
    <s v="414 Main St"/>
    <x v="0"/>
    <x v="2"/>
    <s v="TRK63820842"/>
    <n v="1"/>
    <x v="0"/>
    <x v="1"/>
    <n v="150.16999999999999"/>
    <n v="150.16999999999999"/>
  </r>
  <r>
    <x v="324"/>
    <x v="136"/>
    <x v="1"/>
    <s v="Q2"/>
    <s v="C13525"/>
    <x v="2"/>
    <n v="3"/>
    <n v="70.930000000000007"/>
    <s v="847 Main St"/>
    <x v="0"/>
    <x v="2"/>
    <s v="TRK70193221"/>
    <n v="5"/>
    <x v="2"/>
    <x v="1"/>
    <n v="212.79"/>
    <n v="212.79"/>
  </r>
  <r>
    <x v="325"/>
    <x v="282"/>
    <x v="0"/>
    <s v="Q2"/>
    <s v="C53545"/>
    <x v="6"/>
    <n v="3"/>
    <n v="361.39"/>
    <s v="665 Main St"/>
    <x v="2"/>
    <x v="0"/>
    <s v="TRK61123177"/>
    <n v="8"/>
    <x v="2"/>
    <x v="1"/>
    <n v="1084.17"/>
    <n v="1084.17"/>
  </r>
  <r>
    <x v="326"/>
    <x v="283"/>
    <x v="1"/>
    <s v="Q3"/>
    <s v="C65986"/>
    <x v="5"/>
    <n v="5"/>
    <n v="670.48"/>
    <s v="273 Main St"/>
    <x v="3"/>
    <x v="2"/>
    <s v="TRK98353867"/>
    <n v="5"/>
    <x v="0"/>
    <x v="3"/>
    <n v="3352.4"/>
    <n v="3352.4"/>
  </r>
  <r>
    <x v="327"/>
    <x v="284"/>
    <x v="0"/>
    <s v="Q3"/>
    <s v="C17302"/>
    <x v="1"/>
    <n v="1"/>
    <n v="359.99"/>
    <s v="385 Main St"/>
    <x v="3"/>
    <x v="1"/>
    <s v="TRK43940016"/>
    <n v="5"/>
    <x v="0"/>
    <x v="2"/>
    <n v="359.99"/>
    <n v="359.99"/>
  </r>
  <r>
    <x v="328"/>
    <x v="285"/>
    <x v="0"/>
    <s v="Q1"/>
    <s v="C18404"/>
    <x v="2"/>
    <n v="5"/>
    <n v="674.04"/>
    <s v="546 Main St"/>
    <x v="1"/>
    <x v="1"/>
    <s v="TRK89401624"/>
    <n v="7"/>
    <x v="0"/>
    <x v="4"/>
    <n v="3370.2"/>
    <n v="3370.2"/>
  </r>
  <r>
    <x v="329"/>
    <x v="286"/>
    <x v="1"/>
    <s v="Q4"/>
    <s v="C88371"/>
    <x v="3"/>
    <n v="4"/>
    <n v="283.16000000000003"/>
    <s v="306 Main St"/>
    <x v="2"/>
    <x v="0"/>
    <s v="TRK63224811"/>
    <n v="6"/>
    <x v="2"/>
    <x v="4"/>
    <n v="1132.6400000000001"/>
    <n v="1132.6400000000001"/>
  </r>
  <r>
    <x v="330"/>
    <x v="287"/>
    <x v="1"/>
    <s v="Q2"/>
    <s v="C38068"/>
    <x v="6"/>
    <n v="5"/>
    <n v="260.52999999999997"/>
    <s v="532 Main St"/>
    <x v="3"/>
    <x v="4"/>
    <s v="TRK54059198"/>
    <n v="5"/>
    <x v="0"/>
    <x v="0"/>
    <n v="1302.6500000000001"/>
    <n v="1302.6500000000001"/>
  </r>
  <r>
    <x v="331"/>
    <x v="288"/>
    <x v="0"/>
    <s v="Q2"/>
    <s v="C78724"/>
    <x v="4"/>
    <n v="3"/>
    <n v="422.13"/>
    <s v="187 Main St"/>
    <x v="1"/>
    <x v="3"/>
    <s v="TRK25703134"/>
    <n v="7"/>
    <x v="0"/>
    <x v="3"/>
    <n v="1266.3900000000001"/>
    <n v="1266.3900000000001"/>
  </r>
  <r>
    <x v="332"/>
    <x v="289"/>
    <x v="1"/>
    <s v="Q3"/>
    <s v="C26163"/>
    <x v="6"/>
    <n v="5"/>
    <n v="125.02"/>
    <s v="607 Main St"/>
    <x v="0"/>
    <x v="4"/>
    <s v="TRK67499316"/>
    <n v="9"/>
    <x v="0"/>
    <x v="4"/>
    <n v="625.1"/>
    <n v="625.1"/>
  </r>
  <r>
    <x v="333"/>
    <x v="162"/>
    <x v="1"/>
    <s v="Q2"/>
    <s v="C87124"/>
    <x v="1"/>
    <n v="1"/>
    <n v="198.51"/>
    <s v="818 Main St"/>
    <x v="2"/>
    <x v="2"/>
    <s v="TRK52086740"/>
    <n v="5"/>
    <x v="3"/>
    <x v="0"/>
    <n v="198.51"/>
    <n v="198.51"/>
  </r>
  <r>
    <x v="334"/>
    <x v="290"/>
    <x v="1"/>
    <s v="Q1"/>
    <s v="C90348"/>
    <x v="3"/>
    <n v="4"/>
    <n v="224.75"/>
    <s v="728 Main St"/>
    <x v="1"/>
    <x v="3"/>
    <s v="TRK20635777"/>
    <n v="7"/>
    <x v="3"/>
    <x v="3"/>
    <n v="899"/>
    <n v="899"/>
  </r>
  <r>
    <x v="335"/>
    <x v="291"/>
    <x v="2"/>
    <s v="Q1"/>
    <s v="C58721"/>
    <x v="2"/>
    <n v="3"/>
    <n v="205.86"/>
    <s v="978 Main St"/>
    <x v="3"/>
    <x v="0"/>
    <s v="TRK34801199"/>
    <n v="4"/>
    <x v="2"/>
    <x v="2"/>
    <n v="617.58000000000004"/>
    <n v="617.58000000000004"/>
  </r>
  <r>
    <x v="336"/>
    <x v="10"/>
    <x v="0"/>
    <s v="Q4"/>
    <s v="C88174"/>
    <x v="5"/>
    <n v="1"/>
    <n v="18.2"/>
    <s v="441 Main St"/>
    <x v="0"/>
    <x v="4"/>
    <s v="TRK10143345"/>
    <n v="4"/>
    <x v="0"/>
    <x v="0"/>
    <n v="18.2"/>
    <n v="18.2"/>
  </r>
  <r>
    <x v="337"/>
    <x v="292"/>
    <x v="0"/>
    <s v="Q2"/>
    <s v="C77763"/>
    <x v="2"/>
    <n v="3"/>
    <n v="502.77"/>
    <s v="599 Main St"/>
    <x v="0"/>
    <x v="2"/>
    <s v="TRK66980447"/>
    <n v="8"/>
    <x v="3"/>
    <x v="2"/>
    <n v="1508.31"/>
    <n v="1508.31"/>
  </r>
  <r>
    <x v="338"/>
    <x v="293"/>
    <x v="0"/>
    <s v="Q4"/>
    <s v="C53627"/>
    <x v="1"/>
    <n v="5"/>
    <n v="305.49"/>
    <s v="704 Main St"/>
    <x v="0"/>
    <x v="0"/>
    <s v="TRK64112352"/>
    <n v="10"/>
    <x v="2"/>
    <x v="1"/>
    <n v="1527.45"/>
    <n v="1527.45"/>
  </r>
  <r>
    <x v="339"/>
    <x v="294"/>
    <x v="1"/>
    <s v="Q2"/>
    <s v="C84563"/>
    <x v="4"/>
    <n v="2"/>
    <n v="236.33"/>
    <s v="398 Main St"/>
    <x v="1"/>
    <x v="4"/>
    <s v="TRK62422797"/>
    <n v="3"/>
    <x v="0"/>
    <x v="0"/>
    <n v="472.66"/>
    <n v="472.66"/>
  </r>
  <r>
    <x v="340"/>
    <x v="295"/>
    <x v="0"/>
    <s v="Q2"/>
    <s v="C76207"/>
    <x v="5"/>
    <n v="5"/>
    <n v="521.25"/>
    <s v="826 Main St"/>
    <x v="4"/>
    <x v="1"/>
    <s v="TRK25569378"/>
    <n v="8"/>
    <x v="2"/>
    <x v="2"/>
    <n v="2606.25"/>
    <n v="2606.25"/>
  </r>
  <r>
    <x v="341"/>
    <x v="296"/>
    <x v="1"/>
    <s v="Q3"/>
    <s v="C94671"/>
    <x v="2"/>
    <n v="1"/>
    <n v="167.15"/>
    <s v="293 Main St"/>
    <x v="3"/>
    <x v="0"/>
    <s v="TRK61357272"/>
    <n v="5"/>
    <x v="3"/>
    <x v="2"/>
    <n v="167.15"/>
    <n v="167.15"/>
  </r>
  <r>
    <x v="342"/>
    <x v="53"/>
    <x v="2"/>
    <s v="Q2"/>
    <s v="C69994"/>
    <x v="0"/>
    <n v="5"/>
    <n v="466.42"/>
    <s v="619 Main St"/>
    <x v="3"/>
    <x v="2"/>
    <s v="TRK95935805"/>
    <n v="5"/>
    <x v="2"/>
    <x v="1"/>
    <n v="2332.1"/>
    <n v="2332.1"/>
  </r>
  <r>
    <x v="343"/>
    <x v="297"/>
    <x v="0"/>
    <s v="Q1"/>
    <s v="C64638"/>
    <x v="4"/>
    <n v="1"/>
    <n v="527.57000000000005"/>
    <s v="919 Main St"/>
    <x v="0"/>
    <x v="4"/>
    <s v="TRK64087938"/>
    <n v="3"/>
    <x v="1"/>
    <x v="3"/>
    <n v="527.57000000000005"/>
    <n v="527.57000000000005"/>
  </r>
  <r>
    <x v="344"/>
    <x v="298"/>
    <x v="2"/>
    <s v="Q1"/>
    <s v="C95623"/>
    <x v="2"/>
    <n v="3"/>
    <n v="623.34"/>
    <s v="248 Main St"/>
    <x v="1"/>
    <x v="1"/>
    <s v="TRK67558189"/>
    <n v="3"/>
    <x v="0"/>
    <x v="0"/>
    <n v="1870.02"/>
    <n v="1870.02"/>
  </r>
  <r>
    <x v="345"/>
    <x v="173"/>
    <x v="0"/>
    <s v="Q4"/>
    <s v="C24751"/>
    <x v="2"/>
    <n v="5"/>
    <n v="501.26"/>
    <s v="259 Main St"/>
    <x v="3"/>
    <x v="0"/>
    <s v="TRK37285406"/>
    <n v="10"/>
    <x v="1"/>
    <x v="1"/>
    <n v="2506.3000000000002"/>
    <n v="2506.3000000000002"/>
  </r>
  <r>
    <x v="346"/>
    <x v="299"/>
    <x v="1"/>
    <s v="Q4"/>
    <s v="C31764"/>
    <x v="2"/>
    <n v="1"/>
    <n v="655.09"/>
    <s v="876 Main St"/>
    <x v="4"/>
    <x v="4"/>
    <s v="TRK44680433"/>
    <n v="6"/>
    <x v="2"/>
    <x v="1"/>
    <n v="655.09"/>
    <n v="655.09"/>
  </r>
  <r>
    <x v="347"/>
    <x v="300"/>
    <x v="1"/>
    <s v="Q1"/>
    <s v="C83556"/>
    <x v="4"/>
    <n v="4"/>
    <n v="264.79000000000002"/>
    <s v="380 Main St"/>
    <x v="2"/>
    <x v="4"/>
    <s v="TRK21109187"/>
    <n v="5"/>
    <x v="0"/>
    <x v="4"/>
    <n v="1059.1600000000001"/>
    <n v="1059.1600000000001"/>
  </r>
  <r>
    <x v="348"/>
    <x v="206"/>
    <x v="1"/>
    <s v="Q1"/>
    <s v="C24369"/>
    <x v="5"/>
    <n v="3"/>
    <n v="359.73"/>
    <s v="885 Main St"/>
    <x v="0"/>
    <x v="2"/>
    <s v="TRK72633998"/>
    <n v="7"/>
    <x v="1"/>
    <x v="2"/>
    <n v="1079.19"/>
    <n v="1079.19"/>
  </r>
  <r>
    <x v="349"/>
    <x v="115"/>
    <x v="0"/>
    <s v="Q4"/>
    <s v="C39648"/>
    <x v="3"/>
    <n v="1"/>
    <n v="465.33"/>
    <s v="824 Main St"/>
    <x v="3"/>
    <x v="3"/>
    <s v="TRK56016905"/>
    <n v="2"/>
    <x v="1"/>
    <x v="4"/>
    <n v="465.33"/>
    <n v="465.33"/>
  </r>
  <r>
    <x v="350"/>
    <x v="301"/>
    <x v="0"/>
    <s v="Q2"/>
    <s v="C13296"/>
    <x v="3"/>
    <n v="2"/>
    <n v="54.41"/>
    <s v="495 Main St"/>
    <x v="1"/>
    <x v="0"/>
    <s v="TRK60127216"/>
    <n v="6"/>
    <x v="2"/>
    <x v="0"/>
    <n v="108.82"/>
    <n v="108.82"/>
  </r>
  <r>
    <x v="351"/>
    <x v="302"/>
    <x v="2"/>
    <s v="Q1"/>
    <s v="C94248"/>
    <x v="5"/>
    <n v="1"/>
    <n v="64.66"/>
    <s v="494 Main St"/>
    <x v="0"/>
    <x v="3"/>
    <s v="TRK89406816"/>
    <n v="4"/>
    <x v="2"/>
    <x v="0"/>
    <n v="64.66"/>
    <n v="64.66"/>
  </r>
  <r>
    <x v="352"/>
    <x v="303"/>
    <x v="0"/>
    <s v="Q3"/>
    <s v="C26637"/>
    <x v="3"/>
    <n v="5"/>
    <n v="173.96"/>
    <s v="995 Main St"/>
    <x v="0"/>
    <x v="4"/>
    <s v="TRK59546992"/>
    <n v="8"/>
    <x v="3"/>
    <x v="0"/>
    <n v="869.8"/>
    <n v="869.8"/>
  </r>
  <r>
    <x v="353"/>
    <x v="210"/>
    <x v="2"/>
    <s v="Q1"/>
    <s v="C16012"/>
    <x v="2"/>
    <n v="1"/>
    <n v="630.82000000000005"/>
    <s v="171 Main St"/>
    <x v="1"/>
    <x v="3"/>
    <s v="TRK15195225"/>
    <n v="5"/>
    <x v="1"/>
    <x v="4"/>
    <n v="630.82000000000005"/>
    <n v="630.82000000000005"/>
  </r>
  <r>
    <x v="354"/>
    <x v="304"/>
    <x v="0"/>
    <s v="Q3"/>
    <s v="C31772"/>
    <x v="1"/>
    <n v="1"/>
    <n v="693.41"/>
    <s v="992 Main St"/>
    <x v="0"/>
    <x v="0"/>
    <s v="TRK11970357"/>
    <n v="4"/>
    <x v="2"/>
    <x v="0"/>
    <n v="693.41"/>
    <n v="693.41"/>
  </r>
  <r>
    <x v="355"/>
    <x v="305"/>
    <x v="2"/>
    <s v="Q2"/>
    <s v="C18353"/>
    <x v="2"/>
    <n v="3"/>
    <n v="433.33"/>
    <s v="677 Main St"/>
    <x v="2"/>
    <x v="1"/>
    <s v="TRK78766533"/>
    <n v="4"/>
    <x v="1"/>
    <x v="1"/>
    <n v="1299.99"/>
    <n v="1299.99"/>
  </r>
  <r>
    <x v="356"/>
    <x v="306"/>
    <x v="0"/>
    <s v="Q2"/>
    <s v="C26966"/>
    <x v="4"/>
    <n v="5"/>
    <n v="374.58"/>
    <s v="907 Main St"/>
    <x v="3"/>
    <x v="1"/>
    <s v="TRK83889574"/>
    <n v="10"/>
    <x v="1"/>
    <x v="0"/>
    <n v="1872.9"/>
    <n v="1872.9"/>
  </r>
  <r>
    <x v="357"/>
    <x v="307"/>
    <x v="0"/>
    <s v="Q3"/>
    <s v="C74982"/>
    <x v="5"/>
    <n v="5"/>
    <n v="408.56"/>
    <s v="398 Main St"/>
    <x v="0"/>
    <x v="3"/>
    <s v="TRK98700702"/>
    <n v="8"/>
    <x v="1"/>
    <x v="0"/>
    <n v="2042.8"/>
    <n v="2042.8"/>
  </r>
  <r>
    <x v="358"/>
    <x v="158"/>
    <x v="1"/>
    <s v="Q2"/>
    <s v="C70633"/>
    <x v="2"/>
    <n v="2"/>
    <n v="183.67"/>
    <s v="747 Main St"/>
    <x v="1"/>
    <x v="1"/>
    <s v="TRK82540521"/>
    <n v="3"/>
    <x v="0"/>
    <x v="4"/>
    <n v="367.34"/>
    <n v="367.34"/>
  </r>
  <r>
    <x v="359"/>
    <x v="308"/>
    <x v="0"/>
    <s v="Q2"/>
    <s v="C95643"/>
    <x v="6"/>
    <n v="4"/>
    <n v="606.57000000000005"/>
    <s v="303 Main St"/>
    <x v="0"/>
    <x v="3"/>
    <s v="TRK23286689"/>
    <n v="5"/>
    <x v="3"/>
    <x v="1"/>
    <n v="2426.2800000000002"/>
    <n v="2426.2800000000002"/>
  </r>
  <r>
    <x v="360"/>
    <x v="309"/>
    <x v="1"/>
    <s v="Q2"/>
    <s v="C53810"/>
    <x v="1"/>
    <n v="4"/>
    <n v="589.57000000000005"/>
    <s v="779 Main St"/>
    <x v="4"/>
    <x v="4"/>
    <s v="TRK34630612"/>
    <n v="8"/>
    <x v="2"/>
    <x v="0"/>
    <n v="2358.2800000000002"/>
    <n v="2358.2800000000002"/>
  </r>
  <r>
    <x v="361"/>
    <x v="310"/>
    <x v="1"/>
    <s v="Q2"/>
    <s v="C53464"/>
    <x v="4"/>
    <n v="5"/>
    <n v="659.85"/>
    <s v="197 Main St"/>
    <x v="2"/>
    <x v="3"/>
    <s v="TRK32743531"/>
    <n v="9"/>
    <x v="0"/>
    <x v="3"/>
    <n v="3299.25"/>
    <n v="3299.25"/>
  </r>
  <r>
    <x v="362"/>
    <x v="78"/>
    <x v="0"/>
    <s v="Q2"/>
    <s v="C53697"/>
    <x v="0"/>
    <n v="4"/>
    <n v="206.84"/>
    <s v="312 Main St"/>
    <x v="4"/>
    <x v="1"/>
    <s v="TRK60476656"/>
    <n v="5"/>
    <x v="3"/>
    <x v="0"/>
    <n v="827.36"/>
    <n v="827.36"/>
  </r>
  <r>
    <x v="363"/>
    <x v="75"/>
    <x v="1"/>
    <s v="Q2"/>
    <s v="C31668"/>
    <x v="5"/>
    <n v="5"/>
    <n v="113.87"/>
    <s v="871 Main St"/>
    <x v="2"/>
    <x v="4"/>
    <s v="TRK42584392"/>
    <n v="6"/>
    <x v="0"/>
    <x v="2"/>
    <n v="569.35"/>
    <n v="569.35"/>
  </r>
  <r>
    <x v="364"/>
    <x v="254"/>
    <x v="0"/>
    <s v="Q4"/>
    <s v="C85282"/>
    <x v="1"/>
    <n v="5"/>
    <n v="628.74"/>
    <s v="740 Main St"/>
    <x v="4"/>
    <x v="1"/>
    <s v="TRK86767206"/>
    <n v="9"/>
    <x v="1"/>
    <x v="3"/>
    <n v="3143.7"/>
    <n v="3143.7"/>
  </r>
  <r>
    <x v="365"/>
    <x v="311"/>
    <x v="2"/>
    <s v="Q1"/>
    <s v="C56796"/>
    <x v="1"/>
    <n v="1"/>
    <n v="678.38"/>
    <s v="607 Main St"/>
    <x v="2"/>
    <x v="1"/>
    <s v="TRK74263180"/>
    <n v="4"/>
    <x v="0"/>
    <x v="1"/>
    <n v="678.38"/>
    <n v="678.38"/>
  </r>
  <r>
    <x v="366"/>
    <x v="312"/>
    <x v="0"/>
    <s v="Q1"/>
    <s v="C95213"/>
    <x v="4"/>
    <n v="3"/>
    <n v="602.24"/>
    <s v="603 Main St"/>
    <x v="0"/>
    <x v="4"/>
    <s v="TRK40630538"/>
    <n v="8"/>
    <x v="2"/>
    <x v="1"/>
    <n v="1806.72"/>
    <n v="1806.72"/>
  </r>
  <r>
    <x v="367"/>
    <x v="313"/>
    <x v="1"/>
    <s v="Q2"/>
    <s v="C13108"/>
    <x v="5"/>
    <n v="5"/>
    <n v="658.77"/>
    <s v="712 Main St"/>
    <x v="3"/>
    <x v="4"/>
    <s v="TRK82284400"/>
    <n v="10"/>
    <x v="1"/>
    <x v="0"/>
    <n v="3293.85"/>
    <n v="3293.85"/>
  </r>
  <r>
    <x v="368"/>
    <x v="31"/>
    <x v="0"/>
    <s v="Q2"/>
    <s v="C85322"/>
    <x v="0"/>
    <n v="3"/>
    <n v="271.02"/>
    <s v="403 Main St"/>
    <x v="2"/>
    <x v="1"/>
    <s v="TRK89728869"/>
    <n v="6"/>
    <x v="2"/>
    <x v="4"/>
    <n v="813.06"/>
    <n v="813.06"/>
  </r>
  <r>
    <x v="369"/>
    <x v="70"/>
    <x v="1"/>
    <s v="Q4"/>
    <s v="C43545"/>
    <x v="0"/>
    <n v="5"/>
    <n v="375.25"/>
    <s v="216 Main St"/>
    <x v="3"/>
    <x v="4"/>
    <s v="TRK73937402"/>
    <n v="9"/>
    <x v="0"/>
    <x v="2"/>
    <n v="1876.25"/>
    <n v="1876.25"/>
  </r>
  <r>
    <x v="370"/>
    <x v="120"/>
    <x v="2"/>
    <s v="Q2"/>
    <s v="C80649"/>
    <x v="1"/>
    <n v="1"/>
    <n v="312.11"/>
    <s v="870 Main St"/>
    <x v="1"/>
    <x v="1"/>
    <s v="TRK41143313"/>
    <n v="4"/>
    <x v="3"/>
    <x v="3"/>
    <n v="312.11"/>
    <n v="312.11"/>
  </r>
  <r>
    <x v="371"/>
    <x v="314"/>
    <x v="0"/>
    <s v="Q1"/>
    <s v="C59752"/>
    <x v="1"/>
    <n v="5"/>
    <n v="307.76"/>
    <s v="179 Main St"/>
    <x v="3"/>
    <x v="4"/>
    <s v="TRK82229639"/>
    <n v="9"/>
    <x v="1"/>
    <x v="4"/>
    <n v="1538.8"/>
    <n v="1538.8"/>
  </r>
  <r>
    <x v="372"/>
    <x v="311"/>
    <x v="2"/>
    <s v="Q1"/>
    <s v="C53645"/>
    <x v="3"/>
    <n v="3"/>
    <n v="483.53"/>
    <s v="166 Main St"/>
    <x v="4"/>
    <x v="2"/>
    <s v="TRK12123939"/>
    <n v="4"/>
    <x v="2"/>
    <x v="1"/>
    <n v="1450.59"/>
    <n v="1450.59"/>
  </r>
  <r>
    <x v="373"/>
    <x v="315"/>
    <x v="0"/>
    <s v="Q1"/>
    <s v="C60178"/>
    <x v="5"/>
    <n v="3"/>
    <n v="341.15"/>
    <s v="969 Main St"/>
    <x v="4"/>
    <x v="4"/>
    <s v="TRK84505143"/>
    <n v="4"/>
    <x v="1"/>
    <x v="0"/>
    <n v="1023.45"/>
    <n v="1023.45"/>
  </r>
  <r>
    <x v="374"/>
    <x v="316"/>
    <x v="1"/>
    <s v="Q3"/>
    <s v="C20286"/>
    <x v="0"/>
    <n v="1"/>
    <n v="571.9"/>
    <s v="129 Main St"/>
    <x v="3"/>
    <x v="4"/>
    <s v="TRK67648338"/>
    <n v="1"/>
    <x v="3"/>
    <x v="0"/>
    <n v="571.9"/>
    <n v="571.9"/>
  </r>
  <r>
    <x v="375"/>
    <x v="317"/>
    <x v="2"/>
    <s v="Q1"/>
    <s v="C87547"/>
    <x v="0"/>
    <n v="4"/>
    <n v="95.03"/>
    <s v="400 Main St"/>
    <x v="1"/>
    <x v="0"/>
    <s v="TRK71027262"/>
    <n v="8"/>
    <x v="1"/>
    <x v="3"/>
    <n v="380.12"/>
    <n v="380.12"/>
  </r>
  <r>
    <x v="376"/>
    <x v="318"/>
    <x v="0"/>
    <s v="Q3"/>
    <s v="C64549"/>
    <x v="0"/>
    <n v="5"/>
    <n v="201.22"/>
    <s v="341 Main St"/>
    <x v="0"/>
    <x v="4"/>
    <s v="TRK20788231"/>
    <n v="6"/>
    <x v="1"/>
    <x v="3"/>
    <n v="1006.1"/>
    <n v="1006.1"/>
  </r>
  <r>
    <x v="377"/>
    <x v="319"/>
    <x v="1"/>
    <s v="Q3"/>
    <s v="C24884"/>
    <x v="0"/>
    <n v="1"/>
    <n v="260.26"/>
    <s v="625 Main St"/>
    <x v="1"/>
    <x v="4"/>
    <s v="TRK44538419"/>
    <n v="5"/>
    <x v="3"/>
    <x v="0"/>
    <n v="260.26"/>
    <n v="260.26"/>
  </r>
  <r>
    <x v="378"/>
    <x v="320"/>
    <x v="1"/>
    <s v="Q1"/>
    <s v="C62666"/>
    <x v="3"/>
    <n v="5"/>
    <n v="64.5"/>
    <s v="148 Main St"/>
    <x v="2"/>
    <x v="4"/>
    <s v="TRK91029390"/>
    <n v="8"/>
    <x v="3"/>
    <x v="0"/>
    <n v="322.5"/>
    <n v="322.5"/>
  </r>
  <r>
    <x v="379"/>
    <x v="321"/>
    <x v="1"/>
    <s v="Q3"/>
    <s v="C47284"/>
    <x v="1"/>
    <n v="3"/>
    <n v="297.67"/>
    <s v="500 Main St"/>
    <x v="1"/>
    <x v="0"/>
    <s v="TRK85756094"/>
    <n v="6"/>
    <x v="2"/>
    <x v="4"/>
    <n v="893.01"/>
    <n v="893.01"/>
  </r>
  <r>
    <x v="380"/>
    <x v="322"/>
    <x v="1"/>
    <s v="Q2"/>
    <s v="C35355"/>
    <x v="4"/>
    <n v="4"/>
    <n v="331.9"/>
    <s v="127 Main St"/>
    <x v="4"/>
    <x v="4"/>
    <s v="TRK52935059"/>
    <n v="5"/>
    <x v="0"/>
    <x v="0"/>
    <n v="1327.6"/>
    <n v="1327.6"/>
  </r>
  <r>
    <x v="381"/>
    <x v="323"/>
    <x v="0"/>
    <s v="Q2"/>
    <s v="C29467"/>
    <x v="3"/>
    <n v="1"/>
    <n v="191.76"/>
    <s v="223 Main St"/>
    <x v="2"/>
    <x v="2"/>
    <s v="TRK98103385"/>
    <n v="1"/>
    <x v="1"/>
    <x v="0"/>
    <n v="191.76"/>
    <n v="191.76"/>
  </r>
  <r>
    <x v="382"/>
    <x v="324"/>
    <x v="2"/>
    <s v="Q1"/>
    <s v="C26718"/>
    <x v="4"/>
    <n v="4"/>
    <n v="263.08999999999997"/>
    <s v="272 Main St"/>
    <x v="0"/>
    <x v="0"/>
    <s v="TRK91702525"/>
    <n v="8"/>
    <x v="0"/>
    <x v="4"/>
    <n v="1052.3599999999999"/>
    <n v="1052.3599999999999"/>
  </r>
  <r>
    <x v="383"/>
    <x v="325"/>
    <x v="0"/>
    <s v="Q1"/>
    <s v="C18944"/>
    <x v="3"/>
    <n v="4"/>
    <n v="393.8"/>
    <s v="837 Main St"/>
    <x v="2"/>
    <x v="4"/>
    <s v="TRK45275439"/>
    <n v="7"/>
    <x v="0"/>
    <x v="2"/>
    <n v="1575.2"/>
    <n v="1575.2"/>
  </r>
  <r>
    <x v="384"/>
    <x v="167"/>
    <x v="1"/>
    <s v="Q4"/>
    <s v="C35628"/>
    <x v="3"/>
    <n v="3"/>
    <n v="553.57000000000005"/>
    <s v="147 Main St"/>
    <x v="2"/>
    <x v="2"/>
    <s v="TRK45688220"/>
    <n v="4"/>
    <x v="1"/>
    <x v="3"/>
    <n v="1660.71"/>
    <n v="1660.71"/>
  </r>
  <r>
    <x v="385"/>
    <x v="150"/>
    <x v="0"/>
    <s v="Q4"/>
    <s v="C56851"/>
    <x v="3"/>
    <n v="5"/>
    <n v="191.63"/>
    <s v="752 Main St"/>
    <x v="3"/>
    <x v="3"/>
    <s v="TRK65290904"/>
    <n v="6"/>
    <x v="1"/>
    <x v="3"/>
    <n v="958.15"/>
    <n v="958.15"/>
  </r>
  <r>
    <x v="386"/>
    <x v="200"/>
    <x v="0"/>
    <s v="Q2"/>
    <s v="C12421"/>
    <x v="2"/>
    <n v="1"/>
    <n v="93.02"/>
    <s v="373 Main St"/>
    <x v="1"/>
    <x v="2"/>
    <s v="TRK32588504"/>
    <n v="4"/>
    <x v="2"/>
    <x v="2"/>
    <n v="93.02"/>
    <n v="93.02"/>
  </r>
  <r>
    <x v="387"/>
    <x v="326"/>
    <x v="1"/>
    <s v="Q2"/>
    <s v="C25316"/>
    <x v="4"/>
    <n v="2"/>
    <n v="39.53"/>
    <s v="904 Main St"/>
    <x v="2"/>
    <x v="0"/>
    <s v="TRK55423551"/>
    <n v="3"/>
    <x v="3"/>
    <x v="4"/>
    <n v="79.06"/>
    <n v="79.06"/>
  </r>
  <r>
    <x v="388"/>
    <x v="153"/>
    <x v="0"/>
    <s v="Q4"/>
    <s v="C22657"/>
    <x v="4"/>
    <n v="3"/>
    <n v="633.97"/>
    <s v="152 Main St"/>
    <x v="4"/>
    <x v="4"/>
    <s v="TRK49157047"/>
    <n v="7"/>
    <x v="3"/>
    <x v="3"/>
    <n v="1901.91"/>
    <n v="1901.91"/>
  </r>
  <r>
    <x v="389"/>
    <x v="327"/>
    <x v="0"/>
    <s v="Q4"/>
    <s v="C29703"/>
    <x v="6"/>
    <n v="4"/>
    <n v="697.5"/>
    <s v="558 Main St"/>
    <x v="4"/>
    <x v="0"/>
    <s v="TRK40543461"/>
    <n v="7"/>
    <x v="1"/>
    <x v="1"/>
    <n v="2790"/>
    <n v="2790"/>
  </r>
  <r>
    <x v="390"/>
    <x v="328"/>
    <x v="0"/>
    <s v="Q3"/>
    <s v="C55996"/>
    <x v="4"/>
    <n v="5"/>
    <n v="508.69"/>
    <s v="885 Main St"/>
    <x v="4"/>
    <x v="3"/>
    <s v="TRK30547638"/>
    <n v="10"/>
    <x v="1"/>
    <x v="4"/>
    <n v="2543.4499999999998"/>
    <n v="2543.4499999999998"/>
  </r>
  <r>
    <x v="391"/>
    <x v="317"/>
    <x v="2"/>
    <s v="Q1"/>
    <s v="C60037"/>
    <x v="5"/>
    <n v="2"/>
    <n v="527.46"/>
    <s v="516 Main St"/>
    <x v="0"/>
    <x v="1"/>
    <s v="TRK82009557"/>
    <n v="3"/>
    <x v="1"/>
    <x v="1"/>
    <n v="1054.92"/>
    <n v="1054.92"/>
  </r>
  <r>
    <x v="392"/>
    <x v="329"/>
    <x v="1"/>
    <s v="Q1"/>
    <s v="C95100"/>
    <x v="1"/>
    <n v="1"/>
    <n v="627.20000000000005"/>
    <s v="197 Main St"/>
    <x v="1"/>
    <x v="3"/>
    <s v="TRK47366265"/>
    <n v="1"/>
    <x v="3"/>
    <x v="2"/>
    <n v="627.20000000000005"/>
    <n v="627.20000000000005"/>
  </r>
  <r>
    <x v="393"/>
    <x v="330"/>
    <x v="1"/>
    <s v="Q3"/>
    <s v="C39906"/>
    <x v="4"/>
    <n v="1"/>
    <n v="75.010000000000005"/>
    <s v="921 Main St"/>
    <x v="2"/>
    <x v="2"/>
    <s v="TRK24632134"/>
    <n v="3"/>
    <x v="2"/>
    <x v="4"/>
    <n v="75.010000000000005"/>
    <n v="75.010000000000005"/>
  </r>
  <r>
    <x v="394"/>
    <x v="176"/>
    <x v="0"/>
    <s v="Q3"/>
    <s v="C70148"/>
    <x v="6"/>
    <n v="5"/>
    <n v="529.54999999999995"/>
    <s v="359 Main St"/>
    <x v="3"/>
    <x v="0"/>
    <s v="TRK34848650"/>
    <n v="10"/>
    <x v="2"/>
    <x v="3"/>
    <n v="2647.75"/>
    <n v="2647.75"/>
  </r>
  <r>
    <x v="395"/>
    <x v="331"/>
    <x v="2"/>
    <s v="Q2"/>
    <s v="C30010"/>
    <x v="1"/>
    <n v="3"/>
    <n v="127.41"/>
    <s v="830 Main St"/>
    <x v="3"/>
    <x v="3"/>
    <s v="TRK35386084"/>
    <n v="7"/>
    <x v="0"/>
    <x v="1"/>
    <n v="382.23"/>
    <n v="382.23"/>
  </r>
  <r>
    <x v="396"/>
    <x v="142"/>
    <x v="0"/>
    <s v="Q4"/>
    <s v="C99217"/>
    <x v="2"/>
    <n v="5"/>
    <n v="287.13"/>
    <s v="778 Main St"/>
    <x v="1"/>
    <x v="0"/>
    <s v="TRK82004594"/>
    <n v="10"/>
    <x v="0"/>
    <x v="2"/>
    <n v="1435.65"/>
    <n v="1435.65"/>
  </r>
  <r>
    <x v="397"/>
    <x v="332"/>
    <x v="0"/>
    <s v="Q3"/>
    <s v="C30184"/>
    <x v="0"/>
    <n v="1"/>
    <n v="427.06"/>
    <s v="987 Main St"/>
    <x v="1"/>
    <x v="1"/>
    <s v="TRK86674704"/>
    <n v="1"/>
    <x v="3"/>
    <x v="1"/>
    <n v="427.06"/>
    <n v="427.06"/>
  </r>
  <r>
    <x v="398"/>
    <x v="333"/>
    <x v="1"/>
    <s v="Q3"/>
    <s v="C50275"/>
    <x v="1"/>
    <n v="5"/>
    <n v="53.93"/>
    <s v="729 Main St"/>
    <x v="3"/>
    <x v="0"/>
    <s v="TRK98925264"/>
    <n v="7"/>
    <x v="0"/>
    <x v="0"/>
    <n v="269.64999999999998"/>
    <n v="269.64999999999998"/>
  </r>
  <r>
    <x v="399"/>
    <x v="334"/>
    <x v="1"/>
    <s v="Q1"/>
    <s v="C64641"/>
    <x v="2"/>
    <n v="5"/>
    <n v="423.93"/>
    <s v="319 Main St"/>
    <x v="0"/>
    <x v="2"/>
    <s v="TRK32012588"/>
    <n v="5"/>
    <x v="1"/>
    <x v="3"/>
    <n v="2119.65"/>
    <n v="2119.65"/>
  </r>
  <r>
    <x v="400"/>
    <x v="335"/>
    <x v="1"/>
    <s v="Q3"/>
    <s v="C56266"/>
    <x v="6"/>
    <n v="4"/>
    <n v="160.22"/>
    <s v="304 Main St"/>
    <x v="0"/>
    <x v="2"/>
    <s v="TRK60088901"/>
    <n v="9"/>
    <x v="3"/>
    <x v="0"/>
    <n v="640.88"/>
    <n v="640.88"/>
  </r>
  <r>
    <x v="401"/>
    <x v="23"/>
    <x v="2"/>
    <s v="Q2"/>
    <s v="C98635"/>
    <x v="4"/>
    <n v="1"/>
    <n v="538.67999999999995"/>
    <s v="197 Main St"/>
    <x v="0"/>
    <x v="2"/>
    <s v="TRK14225465"/>
    <n v="6"/>
    <x v="2"/>
    <x v="1"/>
    <n v="538.67999999999995"/>
    <n v="538.67999999999995"/>
  </r>
  <r>
    <x v="402"/>
    <x v="336"/>
    <x v="0"/>
    <s v="Q2"/>
    <s v="C83026"/>
    <x v="4"/>
    <n v="5"/>
    <n v="337.38"/>
    <s v="858 Main St"/>
    <x v="3"/>
    <x v="0"/>
    <s v="TRK79746259"/>
    <n v="5"/>
    <x v="2"/>
    <x v="1"/>
    <n v="1686.9"/>
    <n v="1686.9"/>
  </r>
  <r>
    <x v="403"/>
    <x v="337"/>
    <x v="1"/>
    <s v="Q4"/>
    <s v="C28893"/>
    <x v="2"/>
    <n v="1"/>
    <n v="620.21"/>
    <s v="740 Main St"/>
    <x v="1"/>
    <x v="2"/>
    <s v="TRK98333066"/>
    <n v="1"/>
    <x v="1"/>
    <x v="1"/>
    <n v="620.21"/>
    <n v="620.21"/>
  </r>
  <r>
    <x v="404"/>
    <x v="338"/>
    <x v="0"/>
    <s v="Q1"/>
    <s v="C45482"/>
    <x v="0"/>
    <n v="2"/>
    <n v="99.1"/>
    <s v="440 Main St"/>
    <x v="4"/>
    <x v="3"/>
    <s v="TRK54571699"/>
    <n v="6"/>
    <x v="2"/>
    <x v="0"/>
    <n v="198.2"/>
    <n v="198.2"/>
  </r>
  <r>
    <x v="405"/>
    <x v="281"/>
    <x v="2"/>
    <s v="Q1"/>
    <s v="C97774"/>
    <x v="0"/>
    <n v="4"/>
    <n v="451.97"/>
    <s v="603 Main St"/>
    <x v="1"/>
    <x v="1"/>
    <s v="TRK64664424"/>
    <n v="7"/>
    <x v="3"/>
    <x v="2"/>
    <n v="1807.88"/>
    <n v="1807.88"/>
  </r>
  <r>
    <x v="406"/>
    <x v="339"/>
    <x v="0"/>
    <s v="Q4"/>
    <s v="C11657"/>
    <x v="2"/>
    <n v="4"/>
    <n v="66.099999999999994"/>
    <s v="572 Main St"/>
    <x v="4"/>
    <x v="2"/>
    <s v="TRK50284486"/>
    <n v="9"/>
    <x v="3"/>
    <x v="4"/>
    <n v="264.39999999999998"/>
    <n v="264.39999999999998"/>
  </r>
  <r>
    <x v="407"/>
    <x v="340"/>
    <x v="0"/>
    <s v="Q3"/>
    <s v="C85993"/>
    <x v="2"/>
    <n v="4"/>
    <n v="547.32000000000005"/>
    <s v="250 Main St"/>
    <x v="4"/>
    <x v="2"/>
    <s v="TRK72547640"/>
    <n v="8"/>
    <x v="1"/>
    <x v="0"/>
    <n v="2189.2800000000002"/>
    <n v="2189.2800000000002"/>
  </r>
  <r>
    <x v="408"/>
    <x v="341"/>
    <x v="2"/>
    <s v="Q1"/>
    <s v="C11906"/>
    <x v="4"/>
    <n v="3"/>
    <n v="412.53"/>
    <s v="536 Main St"/>
    <x v="1"/>
    <x v="4"/>
    <s v="TRK31140158"/>
    <n v="6"/>
    <x v="3"/>
    <x v="4"/>
    <n v="1237.5899999999999"/>
    <n v="1237.5899999999999"/>
  </r>
  <r>
    <x v="409"/>
    <x v="342"/>
    <x v="0"/>
    <s v="Q2"/>
    <s v="C45187"/>
    <x v="6"/>
    <n v="5"/>
    <n v="84.13"/>
    <s v="767 Main St"/>
    <x v="1"/>
    <x v="3"/>
    <s v="TRK12320793"/>
    <n v="9"/>
    <x v="0"/>
    <x v="4"/>
    <n v="420.65"/>
    <n v="420.65"/>
  </r>
  <r>
    <x v="410"/>
    <x v="343"/>
    <x v="1"/>
    <s v="Q1"/>
    <s v="C37375"/>
    <x v="2"/>
    <n v="2"/>
    <n v="518.23"/>
    <s v="184 Main St"/>
    <x v="0"/>
    <x v="0"/>
    <s v="TRK52470162"/>
    <n v="5"/>
    <x v="2"/>
    <x v="2"/>
    <n v="1036.46"/>
    <n v="1036.46"/>
  </r>
  <r>
    <x v="411"/>
    <x v="83"/>
    <x v="1"/>
    <s v="Q2"/>
    <s v="C66567"/>
    <x v="6"/>
    <n v="2"/>
    <n v="39.51"/>
    <s v="981 Main St"/>
    <x v="1"/>
    <x v="0"/>
    <s v="TRK21174822"/>
    <n v="5"/>
    <x v="2"/>
    <x v="3"/>
    <n v="79.02"/>
    <n v="79.02"/>
  </r>
  <r>
    <x v="412"/>
    <x v="344"/>
    <x v="2"/>
    <s v="Q2"/>
    <s v="C42451"/>
    <x v="2"/>
    <n v="5"/>
    <n v="133.01"/>
    <s v="246 Main St"/>
    <x v="2"/>
    <x v="2"/>
    <s v="TRK31313343"/>
    <n v="10"/>
    <x v="2"/>
    <x v="3"/>
    <n v="665.05"/>
    <n v="665.05"/>
  </r>
  <r>
    <x v="413"/>
    <x v="345"/>
    <x v="0"/>
    <s v="Q4"/>
    <s v="C13923"/>
    <x v="2"/>
    <n v="1"/>
    <n v="118.8"/>
    <s v="123 Main St"/>
    <x v="1"/>
    <x v="3"/>
    <s v="TRK87598790"/>
    <n v="6"/>
    <x v="0"/>
    <x v="2"/>
    <n v="118.8"/>
    <n v="118.8"/>
  </r>
  <r>
    <x v="414"/>
    <x v="346"/>
    <x v="2"/>
    <s v="Q2"/>
    <s v="C11829"/>
    <x v="6"/>
    <n v="2"/>
    <n v="139.57"/>
    <s v="797 Main St"/>
    <x v="4"/>
    <x v="3"/>
    <s v="TRK84229257"/>
    <n v="4"/>
    <x v="3"/>
    <x v="3"/>
    <n v="279.14"/>
    <n v="279.14"/>
  </r>
  <r>
    <x v="415"/>
    <x v="161"/>
    <x v="2"/>
    <s v="Q2"/>
    <s v="C62169"/>
    <x v="3"/>
    <n v="1"/>
    <n v="184.15"/>
    <s v="655 Main St"/>
    <x v="3"/>
    <x v="0"/>
    <s v="TRK64558985"/>
    <n v="5"/>
    <x v="1"/>
    <x v="3"/>
    <n v="184.15"/>
    <n v="184.15"/>
  </r>
  <r>
    <x v="416"/>
    <x v="202"/>
    <x v="0"/>
    <s v="Q3"/>
    <s v="C20881"/>
    <x v="5"/>
    <n v="2"/>
    <n v="644.04999999999995"/>
    <s v="652 Main St"/>
    <x v="3"/>
    <x v="1"/>
    <s v="TRK26263902"/>
    <n v="5"/>
    <x v="3"/>
    <x v="1"/>
    <n v="1288.0999999999999"/>
    <n v="1288.0999999999999"/>
  </r>
  <r>
    <x v="417"/>
    <x v="347"/>
    <x v="0"/>
    <s v="Q4"/>
    <s v="C44492"/>
    <x v="5"/>
    <n v="5"/>
    <n v="55.41"/>
    <s v="954 Main St"/>
    <x v="1"/>
    <x v="1"/>
    <s v="TRK51429869"/>
    <n v="5"/>
    <x v="2"/>
    <x v="4"/>
    <n v="277.05"/>
    <n v="277.05"/>
  </r>
  <r>
    <x v="418"/>
    <x v="348"/>
    <x v="0"/>
    <s v="Q1"/>
    <s v="C74169"/>
    <x v="4"/>
    <n v="1"/>
    <n v="310.93"/>
    <s v="862 Main St"/>
    <x v="1"/>
    <x v="1"/>
    <s v="TRK66144809"/>
    <n v="3"/>
    <x v="2"/>
    <x v="3"/>
    <n v="310.93"/>
    <n v="310.93"/>
  </r>
  <r>
    <x v="419"/>
    <x v="349"/>
    <x v="1"/>
    <s v="Q2"/>
    <s v="C70999"/>
    <x v="2"/>
    <n v="2"/>
    <n v="216.66"/>
    <s v="885 Main St"/>
    <x v="0"/>
    <x v="4"/>
    <s v="TRK75644156"/>
    <n v="6"/>
    <x v="1"/>
    <x v="0"/>
    <n v="433.32"/>
    <n v="433.32"/>
  </r>
  <r>
    <x v="420"/>
    <x v="350"/>
    <x v="1"/>
    <s v="Q4"/>
    <s v="C11921"/>
    <x v="1"/>
    <n v="1"/>
    <n v="452.7"/>
    <s v="439 Main St"/>
    <x v="0"/>
    <x v="0"/>
    <s v="TRK91362635"/>
    <n v="5"/>
    <x v="1"/>
    <x v="0"/>
    <n v="452.7"/>
    <n v="452.7"/>
  </r>
  <r>
    <x v="421"/>
    <x v="3"/>
    <x v="0"/>
    <s v="Q4"/>
    <s v="C50683"/>
    <x v="3"/>
    <n v="2"/>
    <n v="288.20999999999998"/>
    <s v="769 Main St"/>
    <x v="0"/>
    <x v="1"/>
    <s v="TRK53032122"/>
    <n v="5"/>
    <x v="2"/>
    <x v="2"/>
    <n v="576.41999999999996"/>
    <n v="576.41999999999996"/>
  </r>
  <r>
    <x v="422"/>
    <x v="32"/>
    <x v="0"/>
    <s v="Q2"/>
    <s v="C76140"/>
    <x v="1"/>
    <n v="4"/>
    <n v="206.6"/>
    <s v="914 Main St"/>
    <x v="3"/>
    <x v="2"/>
    <s v="TRK25861469"/>
    <n v="6"/>
    <x v="3"/>
    <x v="1"/>
    <n v="826.4"/>
    <n v="826.4"/>
  </r>
  <r>
    <x v="423"/>
    <x v="351"/>
    <x v="1"/>
    <s v="Q3"/>
    <s v="C94311"/>
    <x v="4"/>
    <n v="4"/>
    <n v="685.2"/>
    <s v="195 Main St"/>
    <x v="3"/>
    <x v="1"/>
    <s v="TRK97308771"/>
    <n v="6"/>
    <x v="3"/>
    <x v="4"/>
    <n v="2740.8"/>
    <n v="2740.8"/>
  </r>
  <r>
    <x v="424"/>
    <x v="352"/>
    <x v="0"/>
    <s v="Q2"/>
    <s v="C49491"/>
    <x v="3"/>
    <n v="5"/>
    <n v="22.94"/>
    <s v="339 Main St"/>
    <x v="4"/>
    <x v="4"/>
    <s v="TRK64012257"/>
    <n v="10"/>
    <x v="2"/>
    <x v="2"/>
    <n v="114.7"/>
    <n v="114.7"/>
  </r>
  <r>
    <x v="425"/>
    <x v="338"/>
    <x v="0"/>
    <s v="Q1"/>
    <s v="C40648"/>
    <x v="5"/>
    <n v="2"/>
    <n v="301.88"/>
    <s v="488 Main St"/>
    <x v="3"/>
    <x v="2"/>
    <s v="TRK25325993"/>
    <n v="5"/>
    <x v="3"/>
    <x v="2"/>
    <n v="603.76"/>
    <n v="603.76"/>
  </r>
  <r>
    <x v="426"/>
    <x v="353"/>
    <x v="2"/>
    <s v="Q1"/>
    <s v="C40967"/>
    <x v="0"/>
    <n v="5"/>
    <n v="57.45"/>
    <s v="315 Main St"/>
    <x v="4"/>
    <x v="1"/>
    <s v="TRK24839296"/>
    <n v="10"/>
    <x v="2"/>
    <x v="3"/>
    <n v="287.25"/>
    <n v="287.25"/>
  </r>
  <r>
    <x v="427"/>
    <x v="144"/>
    <x v="1"/>
    <s v="Q4"/>
    <s v="C25406"/>
    <x v="6"/>
    <n v="1"/>
    <n v="161.24"/>
    <s v="379 Main St"/>
    <x v="2"/>
    <x v="4"/>
    <s v="TRK70952564"/>
    <n v="3"/>
    <x v="3"/>
    <x v="0"/>
    <n v="161.24"/>
    <n v="161.24"/>
  </r>
  <r>
    <x v="428"/>
    <x v="130"/>
    <x v="1"/>
    <s v="Q4"/>
    <s v="C77085"/>
    <x v="3"/>
    <n v="4"/>
    <n v="262.58"/>
    <s v="895 Main St"/>
    <x v="1"/>
    <x v="1"/>
    <s v="TRK57227640"/>
    <n v="8"/>
    <x v="3"/>
    <x v="2"/>
    <n v="1050.32"/>
    <n v="1050.32"/>
  </r>
  <r>
    <x v="429"/>
    <x v="36"/>
    <x v="1"/>
    <s v="Q4"/>
    <s v="C38126"/>
    <x v="4"/>
    <n v="4"/>
    <n v="515.19000000000005"/>
    <s v="522 Main St"/>
    <x v="2"/>
    <x v="4"/>
    <s v="TRK90838498"/>
    <n v="9"/>
    <x v="0"/>
    <x v="3"/>
    <n v="2060.7600000000002"/>
    <n v="2060.7600000000002"/>
  </r>
  <r>
    <x v="430"/>
    <x v="323"/>
    <x v="0"/>
    <s v="Q2"/>
    <s v="C87448"/>
    <x v="1"/>
    <n v="1"/>
    <n v="450.07"/>
    <s v="433 Main St"/>
    <x v="3"/>
    <x v="0"/>
    <s v="TRK44134016"/>
    <n v="6"/>
    <x v="1"/>
    <x v="4"/>
    <n v="450.07"/>
    <n v="450.07"/>
  </r>
  <r>
    <x v="431"/>
    <x v="354"/>
    <x v="1"/>
    <s v="Q4"/>
    <s v="C62312"/>
    <x v="4"/>
    <n v="1"/>
    <n v="52.54"/>
    <s v="651 Main St"/>
    <x v="0"/>
    <x v="1"/>
    <s v="TRK59623037"/>
    <n v="6"/>
    <x v="3"/>
    <x v="3"/>
    <n v="52.54"/>
    <n v="52.54"/>
  </r>
  <r>
    <x v="432"/>
    <x v="355"/>
    <x v="0"/>
    <s v="Q3"/>
    <s v="C58443"/>
    <x v="2"/>
    <n v="2"/>
    <n v="424.32"/>
    <s v="662 Main St"/>
    <x v="2"/>
    <x v="2"/>
    <s v="TRK77163738"/>
    <n v="6"/>
    <x v="2"/>
    <x v="1"/>
    <n v="848.64"/>
    <n v="848.64"/>
  </r>
  <r>
    <x v="433"/>
    <x v="46"/>
    <x v="0"/>
    <s v="Q3"/>
    <s v="C36613"/>
    <x v="0"/>
    <n v="3"/>
    <n v="631.64"/>
    <s v="785 Main St"/>
    <x v="2"/>
    <x v="2"/>
    <s v="TRK13282106"/>
    <n v="3"/>
    <x v="1"/>
    <x v="3"/>
    <n v="1894.92"/>
    <n v="1894.92"/>
  </r>
  <r>
    <x v="434"/>
    <x v="356"/>
    <x v="0"/>
    <s v="Q4"/>
    <s v="C73893"/>
    <x v="4"/>
    <n v="5"/>
    <n v="327.68"/>
    <s v="384 Main St"/>
    <x v="2"/>
    <x v="2"/>
    <s v="TRK85939879"/>
    <n v="6"/>
    <x v="2"/>
    <x v="3"/>
    <n v="1638.4"/>
    <n v="1638.4"/>
  </r>
  <r>
    <x v="435"/>
    <x v="156"/>
    <x v="0"/>
    <s v="Q2"/>
    <s v="C48601"/>
    <x v="4"/>
    <n v="1"/>
    <n v="414.47"/>
    <s v="101 Main St"/>
    <x v="0"/>
    <x v="2"/>
    <s v="TRK97868309"/>
    <n v="3"/>
    <x v="1"/>
    <x v="0"/>
    <n v="414.47"/>
    <n v="414.47"/>
  </r>
  <r>
    <x v="436"/>
    <x v="91"/>
    <x v="0"/>
    <s v="Q1"/>
    <s v="C14568"/>
    <x v="5"/>
    <n v="4"/>
    <n v="221.33"/>
    <s v="651 Main St"/>
    <x v="1"/>
    <x v="4"/>
    <s v="TRK73545796"/>
    <n v="5"/>
    <x v="2"/>
    <x v="4"/>
    <n v="885.32"/>
    <n v="885.32"/>
  </r>
  <r>
    <x v="437"/>
    <x v="171"/>
    <x v="1"/>
    <s v="Q2"/>
    <s v="C63378"/>
    <x v="1"/>
    <n v="1"/>
    <n v="512.39"/>
    <s v="955 Main St"/>
    <x v="1"/>
    <x v="3"/>
    <s v="TRK20863705"/>
    <n v="2"/>
    <x v="1"/>
    <x v="0"/>
    <n v="512.39"/>
    <n v="512.39"/>
  </r>
  <r>
    <x v="438"/>
    <x v="195"/>
    <x v="2"/>
    <s v="Q1"/>
    <s v="C77800"/>
    <x v="2"/>
    <n v="3"/>
    <n v="459.34"/>
    <s v="436 Main St"/>
    <x v="3"/>
    <x v="4"/>
    <s v="TRK27439574"/>
    <n v="3"/>
    <x v="0"/>
    <x v="0"/>
    <n v="1378.02"/>
    <n v="1378.02"/>
  </r>
  <r>
    <x v="439"/>
    <x v="50"/>
    <x v="1"/>
    <s v="Q3"/>
    <s v="C91155"/>
    <x v="2"/>
    <n v="1"/>
    <n v="146.32"/>
    <s v="321 Main St"/>
    <x v="1"/>
    <x v="0"/>
    <s v="TRK36260319"/>
    <n v="4"/>
    <x v="3"/>
    <x v="3"/>
    <n v="146.32"/>
    <n v="146.32"/>
  </r>
  <r>
    <x v="440"/>
    <x v="357"/>
    <x v="1"/>
    <s v="Q4"/>
    <s v="C60215"/>
    <x v="6"/>
    <n v="4"/>
    <n v="83.6"/>
    <s v="978 Main St"/>
    <x v="0"/>
    <x v="4"/>
    <s v="TRK31727767"/>
    <n v="4"/>
    <x v="0"/>
    <x v="3"/>
    <n v="334.4"/>
    <n v="334.4"/>
  </r>
  <r>
    <x v="441"/>
    <x v="141"/>
    <x v="0"/>
    <s v="Q4"/>
    <s v="C52915"/>
    <x v="4"/>
    <n v="2"/>
    <n v="328.54"/>
    <s v="475 Main St"/>
    <x v="3"/>
    <x v="2"/>
    <s v="TRK79466982"/>
    <n v="6"/>
    <x v="1"/>
    <x v="2"/>
    <n v="657.08"/>
    <n v="657.08"/>
  </r>
  <r>
    <x v="442"/>
    <x v="40"/>
    <x v="1"/>
    <s v="Q2"/>
    <s v="C72588"/>
    <x v="3"/>
    <n v="5"/>
    <n v="314.94"/>
    <s v="661 Main St"/>
    <x v="4"/>
    <x v="4"/>
    <s v="TRK43410829"/>
    <n v="8"/>
    <x v="0"/>
    <x v="0"/>
    <n v="1574.7"/>
    <n v="1574.7"/>
  </r>
  <r>
    <x v="443"/>
    <x v="358"/>
    <x v="1"/>
    <s v="Q2"/>
    <s v="C61668"/>
    <x v="3"/>
    <n v="2"/>
    <n v="69.64"/>
    <s v="813 Main St"/>
    <x v="4"/>
    <x v="2"/>
    <s v="TRK58970302"/>
    <n v="6"/>
    <x v="2"/>
    <x v="3"/>
    <n v="139.28"/>
    <n v="139.28"/>
  </r>
  <r>
    <x v="444"/>
    <x v="180"/>
    <x v="1"/>
    <s v="Q2"/>
    <s v="C79508"/>
    <x v="4"/>
    <n v="1"/>
    <n v="135.16999999999999"/>
    <s v="585 Main St"/>
    <x v="1"/>
    <x v="0"/>
    <s v="TRK61882353"/>
    <n v="6"/>
    <x v="1"/>
    <x v="0"/>
    <n v="135.16999999999999"/>
    <n v="135.16999999999999"/>
  </r>
  <r>
    <x v="445"/>
    <x v="230"/>
    <x v="1"/>
    <s v="Q1"/>
    <s v="C94569"/>
    <x v="1"/>
    <n v="1"/>
    <n v="487.21"/>
    <s v="227 Main St"/>
    <x v="4"/>
    <x v="3"/>
    <s v="TRK31351770"/>
    <n v="3"/>
    <x v="0"/>
    <x v="1"/>
    <n v="487.21"/>
    <n v="487.21"/>
  </r>
  <r>
    <x v="446"/>
    <x v="359"/>
    <x v="0"/>
    <s v="Q4"/>
    <s v="C89592"/>
    <x v="5"/>
    <n v="5"/>
    <n v="509.58"/>
    <s v="262 Main St"/>
    <x v="1"/>
    <x v="3"/>
    <s v="TRK49442402"/>
    <n v="6"/>
    <x v="1"/>
    <x v="0"/>
    <n v="2547.9"/>
    <n v="2547.9"/>
  </r>
  <r>
    <x v="447"/>
    <x v="158"/>
    <x v="1"/>
    <s v="Q2"/>
    <s v="C48207"/>
    <x v="4"/>
    <n v="2"/>
    <n v="416.81"/>
    <s v="356 Main St"/>
    <x v="4"/>
    <x v="2"/>
    <s v="TRK45355655"/>
    <n v="2"/>
    <x v="2"/>
    <x v="3"/>
    <n v="833.62"/>
    <n v="833.62"/>
  </r>
  <r>
    <x v="448"/>
    <x v="355"/>
    <x v="0"/>
    <s v="Q3"/>
    <s v="C16776"/>
    <x v="5"/>
    <n v="2"/>
    <n v="160"/>
    <s v="854 Main St"/>
    <x v="4"/>
    <x v="4"/>
    <s v="TRK12860600"/>
    <n v="4"/>
    <x v="0"/>
    <x v="0"/>
    <n v="320"/>
    <n v="320"/>
  </r>
  <r>
    <x v="449"/>
    <x v="360"/>
    <x v="1"/>
    <s v="Q3"/>
    <s v="C91518"/>
    <x v="2"/>
    <n v="3"/>
    <n v="253.05"/>
    <s v="286 Main St"/>
    <x v="1"/>
    <x v="4"/>
    <s v="TRK48688724"/>
    <n v="3"/>
    <x v="2"/>
    <x v="0"/>
    <n v="759.15"/>
    <n v="759.15"/>
  </r>
  <r>
    <x v="450"/>
    <x v="361"/>
    <x v="1"/>
    <s v="Q1"/>
    <s v="C36408"/>
    <x v="0"/>
    <n v="5"/>
    <n v="615.1"/>
    <s v="160 Main St"/>
    <x v="3"/>
    <x v="2"/>
    <s v="TRK94023253"/>
    <n v="10"/>
    <x v="3"/>
    <x v="0"/>
    <n v="3075.5"/>
    <n v="3075.5"/>
  </r>
  <r>
    <x v="451"/>
    <x v="362"/>
    <x v="0"/>
    <s v="Q2"/>
    <s v="C14837"/>
    <x v="0"/>
    <n v="1"/>
    <n v="183.18"/>
    <s v="647 Main St"/>
    <x v="0"/>
    <x v="1"/>
    <s v="TRK17501136"/>
    <n v="6"/>
    <x v="0"/>
    <x v="2"/>
    <n v="183.18"/>
    <n v="183.18"/>
  </r>
  <r>
    <x v="452"/>
    <x v="363"/>
    <x v="0"/>
    <s v="Q3"/>
    <s v="C36467"/>
    <x v="4"/>
    <n v="1"/>
    <n v="75.78"/>
    <s v="581 Main St"/>
    <x v="4"/>
    <x v="4"/>
    <s v="TRK20863987"/>
    <n v="5"/>
    <x v="0"/>
    <x v="4"/>
    <n v="75.78"/>
    <n v="75.78"/>
  </r>
  <r>
    <x v="453"/>
    <x v="201"/>
    <x v="2"/>
    <s v="Q2"/>
    <s v="C15017"/>
    <x v="2"/>
    <n v="1"/>
    <n v="675.57"/>
    <s v="492 Main St"/>
    <x v="4"/>
    <x v="0"/>
    <s v="TRK51241924"/>
    <n v="1"/>
    <x v="3"/>
    <x v="3"/>
    <n v="675.57"/>
    <n v="675.57"/>
  </r>
  <r>
    <x v="454"/>
    <x v="364"/>
    <x v="1"/>
    <s v="Q4"/>
    <s v="C54759"/>
    <x v="5"/>
    <n v="1"/>
    <n v="109.29"/>
    <s v="686 Main St"/>
    <x v="0"/>
    <x v="1"/>
    <s v="TRK75583042"/>
    <n v="5"/>
    <x v="1"/>
    <x v="4"/>
    <n v="109.29"/>
    <n v="109.29"/>
  </r>
  <r>
    <x v="455"/>
    <x v="290"/>
    <x v="1"/>
    <s v="Q1"/>
    <s v="C58341"/>
    <x v="1"/>
    <n v="1"/>
    <n v="639.83000000000004"/>
    <s v="874 Main St"/>
    <x v="0"/>
    <x v="4"/>
    <s v="TRK32856728"/>
    <n v="2"/>
    <x v="0"/>
    <x v="1"/>
    <n v="639.83000000000004"/>
    <n v="639.83000000000004"/>
  </r>
  <r>
    <x v="456"/>
    <x v="365"/>
    <x v="0"/>
    <s v="Q2"/>
    <s v="C94479"/>
    <x v="6"/>
    <n v="5"/>
    <n v="62.81"/>
    <s v="259 Main St"/>
    <x v="2"/>
    <x v="0"/>
    <s v="TRK69089975"/>
    <n v="9"/>
    <x v="0"/>
    <x v="3"/>
    <n v="314.05"/>
    <n v="314.05"/>
  </r>
  <r>
    <x v="457"/>
    <x v="366"/>
    <x v="2"/>
    <s v="Q2"/>
    <s v="C50236"/>
    <x v="6"/>
    <n v="4"/>
    <n v="615.83000000000004"/>
    <s v="545 Main St"/>
    <x v="1"/>
    <x v="2"/>
    <s v="TRK67692578"/>
    <n v="4"/>
    <x v="3"/>
    <x v="0"/>
    <n v="2463.3200000000002"/>
    <n v="2463.3200000000002"/>
  </r>
  <r>
    <x v="458"/>
    <x v="367"/>
    <x v="1"/>
    <s v="Q3"/>
    <s v="C31412"/>
    <x v="0"/>
    <n v="4"/>
    <n v="510.58"/>
    <s v="196 Main St"/>
    <x v="2"/>
    <x v="2"/>
    <s v="TRK61946127"/>
    <n v="7"/>
    <x v="3"/>
    <x v="2"/>
    <n v="2042.32"/>
    <n v="2042.32"/>
  </r>
  <r>
    <x v="459"/>
    <x v="25"/>
    <x v="1"/>
    <s v="Q3"/>
    <s v="C90142"/>
    <x v="6"/>
    <n v="1"/>
    <n v="334.39"/>
    <s v="433 Main St"/>
    <x v="2"/>
    <x v="2"/>
    <s v="TRK39717191"/>
    <n v="2"/>
    <x v="2"/>
    <x v="0"/>
    <n v="334.39"/>
    <n v="334.39"/>
  </r>
  <r>
    <x v="460"/>
    <x v="354"/>
    <x v="1"/>
    <s v="Q4"/>
    <s v="C83548"/>
    <x v="5"/>
    <n v="1"/>
    <n v="144.25"/>
    <s v="474 Main St"/>
    <x v="4"/>
    <x v="2"/>
    <s v="TRK93822942"/>
    <n v="2"/>
    <x v="3"/>
    <x v="1"/>
    <n v="144.25"/>
    <n v="144.25"/>
  </r>
  <r>
    <x v="461"/>
    <x v="180"/>
    <x v="1"/>
    <s v="Q2"/>
    <s v="C29697"/>
    <x v="2"/>
    <n v="1"/>
    <n v="401.82"/>
    <s v="407 Main St"/>
    <x v="2"/>
    <x v="0"/>
    <s v="TRK47776482"/>
    <n v="5"/>
    <x v="1"/>
    <x v="4"/>
    <n v="401.82"/>
    <n v="401.82"/>
  </r>
  <r>
    <x v="462"/>
    <x v="368"/>
    <x v="2"/>
    <s v="Q1"/>
    <s v="C22991"/>
    <x v="1"/>
    <n v="1"/>
    <n v="252.68"/>
    <s v="731 Main St"/>
    <x v="1"/>
    <x v="1"/>
    <s v="TRK32796086"/>
    <n v="1"/>
    <x v="2"/>
    <x v="1"/>
    <n v="252.68"/>
    <n v="252.68"/>
  </r>
  <r>
    <x v="463"/>
    <x v="68"/>
    <x v="0"/>
    <s v="Q2"/>
    <s v="C25276"/>
    <x v="5"/>
    <n v="5"/>
    <n v="662.78"/>
    <s v="214 Main St"/>
    <x v="0"/>
    <x v="0"/>
    <s v="TRK14011732"/>
    <n v="9"/>
    <x v="0"/>
    <x v="0"/>
    <n v="3313.9"/>
    <n v="3313.9"/>
  </r>
  <r>
    <x v="464"/>
    <x v="369"/>
    <x v="0"/>
    <s v="Q1"/>
    <s v="C39176"/>
    <x v="2"/>
    <n v="4"/>
    <n v="434.42"/>
    <s v="739 Main St"/>
    <x v="1"/>
    <x v="1"/>
    <s v="TRK71418686"/>
    <n v="6"/>
    <x v="1"/>
    <x v="4"/>
    <n v="1737.68"/>
    <n v="1737.68"/>
  </r>
  <r>
    <x v="465"/>
    <x v="235"/>
    <x v="1"/>
    <s v="Q1"/>
    <s v="C58773"/>
    <x v="4"/>
    <n v="5"/>
    <n v="513.49"/>
    <s v="391 Main St"/>
    <x v="3"/>
    <x v="1"/>
    <s v="TRK65438300"/>
    <n v="8"/>
    <x v="2"/>
    <x v="4"/>
    <n v="2567.4499999999998"/>
    <n v="2567.4499999999998"/>
  </r>
  <r>
    <x v="466"/>
    <x v="202"/>
    <x v="0"/>
    <s v="Q3"/>
    <s v="C37412"/>
    <x v="1"/>
    <n v="1"/>
    <n v="432.47"/>
    <s v="895 Main St"/>
    <x v="4"/>
    <x v="3"/>
    <s v="TRK97829604"/>
    <n v="4"/>
    <x v="1"/>
    <x v="1"/>
    <n v="432.47"/>
    <n v="432.47"/>
  </r>
  <r>
    <x v="467"/>
    <x v="225"/>
    <x v="1"/>
    <s v="Q3"/>
    <s v="C36492"/>
    <x v="6"/>
    <n v="1"/>
    <n v="45.94"/>
    <s v="572 Main St"/>
    <x v="4"/>
    <x v="1"/>
    <s v="TRK44350440"/>
    <n v="2"/>
    <x v="3"/>
    <x v="2"/>
    <n v="45.94"/>
    <n v="45.94"/>
  </r>
  <r>
    <x v="468"/>
    <x v="370"/>
    <x v="2"/>
    <s v="Q2"/>
    <s v="C90110"/>
    <x v="1"/>
    <n v="1"/>
    <n v="418.36"/>
    <s v="998 Main St"/>
    <x v="2"/>
    <x v="3"/>
    <s v="TRK60203957"/>
    <n v="5"/>
    <x v="1"/>
    <x v="2"/>
    <n v="418.36"/>
    <n v="418.36"/>
  </r>
  <r>
    <x v="469"/>
    <x v="371"/>
    <x v="0"/>
    <s v="Q4"/>
    <s v="C13877"/>
    <x v="3"/>
    <n v="5"/>
    <n v="676.98"/>
    <s v="893 Main St"/>
    <x v="4"/>
    <x v="1"/>
    <s v="TRK17254691"/>
    <n v="5"/>
    <x v="2"/>
    <x v="3"/>
    <n v="3384.9"/>
    <n v="3384.9"/>
  </r>
  <r>
    <x v="470"/>
    <x v="372"/>
    <x v="0"/>
    <s v="Q3"/>
    <s v="C25149"/>
    <x v="2"/>
    <n v="4"/>
    <n v="263.62"/>
    <s v="672 Main St"/>
    <x v="4"/>
    <x v="0"/>
    <s v="TRK33538608"/>
    <n v="5"/>
    <x v="0"/>
    <x v="2"/>
    <n v="1054.48"/>
    <n v="1054.48"/>
  </r>
  <r>
    <x v="471"/>
    <x v="373"/>
    <x v="2"/>
    <s v="Q2"/>
    <s v="C52717"/>
    <x v="6"/>
    <n v="5"/>
    <n v="551.27"/>
    <s v="395 Main St"/>
    <x v="1"/>
    <x v="1"/>
    <s v="TRK27625571"/>
    <n v="7"/>
    <x v="1"/>
    <x v="1"/>
    <n v="2756.35"/>
    <n v="2756.35"/>
  </r>
  <r>
    <x v="472"/>
    <x v="374"/>
    <x v="0"/>
    <s v="Q1"/>
    <s v="C60029"/>
    <x v="3"/>
    <n v="3"/>
    <n v="508.12"/>
    <s v="796 Main St"/>
    <x v="2"/>
    <x v="1"/>
    <s v="TRK86461316"/>
    <n v="8"/>
    <x v="1"/>
    <x v="1"/>
    <n v="1524.36"/>
    <n v="1524.36"/>
  </r>
  <r>
    <x v="473"/>
    <x v="86"/>
    <x v="2"/>
    <s v="Q1"/>
    <s v="C28552"/>
    <x v="3"/>
    <n v="2"/>
    <n v="14.93"/>
    <s v="449 Main St"/>
    <x v="1"/>
    <x v="0"/>
    <s v="TRK71597160"/>
    <n v="4"/>
    <x v="2"/>
    <x v="3"/>
    <n v="29.86"/>
    <n v="29.86"/>
  </r>
  <r>
    <x v="474"/>
    <x v="375"/>
    <x v="0"/>
    <s v="Q4"/>
    <s v="C72293"/>
    <x v="4"/>
    <n v="3"/>
    <n v="229.34"/>
    <s v="398 Main St"/>
    <x v="2"/>
    <x v="0"/>
    <s v="TRK84378003"/>
    <n v="6"/>
    <x v="0"/>
    <x v="1"/>
    <n v="688.02"/>
    <n v="688.02"/>
  </r>
  <r>
    <x v="475"/>
    <x v="373"/>
    <x v="2"/>
    <s v="Q2"/>
    <s v="C29844"/>
    <x v="2"/>
    <n v="2"/>
    <n v="438.62"/>
    <s v="363 Main St"/>
    <x v="4"/>
    <x v="1"/>
    <s v="TRK91642337"/>
    <n v="3"/>
    <x v="0"/>
    <x v="3"/>
    <n v="877.24"/>
    <n v="877.24"/>
  </r>
  <r>
    <x v="476"/>
    <x v="361"/>
    <x v="1"/>
    <s v="Q1"/>
    <s v="C77872"/>
    <x v="1"/>
    <n v="2"/>
    <n v="513.59"/>
    <s v="867 Main St"/>
    <x v="1"/>
    <x v="2"/>
    <s v="TRK19292184"/>
    <n v="4"/>
    <x v="1"/>
    <x v="1"/>
    <n v="1027.18"/>
    <n v="1027.18"/>
  </r>
  <r>
    <x v="477"/>
    <x v="376"/>
    <x v="2"/>
    <s v="Q1"/>
    <s v="C56564"/>
    <x v="1"/>
    <n v="2"/>
    <n v="253.74"/>
    <s v="481 Main St"/>
    <x v="1"/>
    <x v="0"/>
    <s v="TRK13166044"/>
    <n v="5"/>
    <x v="0"/>
    <x v="4"/>
    <n v="507.48"/>
    <n v="507.48"/>
  </r>
  <r>
    <x v="478"/>
    <x v="377"/>
    <x v="1"/>
    <s v="Q4"/>
    <s v="C16758"/>
    <x v="2"/>
    <n v="3"/>
    <n v="62.77"/>
    <s v="914 Main St"/>
    <x v="3"/>
    <x v="0"/>
    <s v="TRK88544431"/>
    <n v="6"/>
    <x v="1"/>
    <x v="1"/>
    <n v="188.31"/>
    <n v="188.31"/>
  </r>
  <r>
    <x v="479"/>
    <x v="378"/>
    <x v="0"/>
    <s v="Q1"/>
    <s v="C87011"/>
    <x v="0"/>
    <n v="4"/>
    <n v="25.29"/>
    <s v="943 Main St"/>
    <x v="2"/>
    <x v="4"/>
    <s v="TRK21429162"/>
    <n v="8"/>
    <x v="2"/>
    <x v="4"/>
    <n v="101.16"/>
    <n v="101.16"/>
  </r>
  <r>
    <x v="480"/>
    <x v="379"/>
    <x v="0"/>
    <s v="Q2"/>
    <s v="C21147"/>
    <x v="3"/>
    <n v="1"/>
    <n v="335.1"/>
    <s v="126 Main St"/>
    <x v="0"/>
    <x v="4"/>
    <s v="TRK93171043"/>
    <n v="6"/>
    <x v="1"/>
    <x v="1"/>
    <n v="335.1"/>
    <n v="335.1"/>
  </r>
  <r>
    <x v="481"/>
    <x v="295"/>
    <x v="0"/>
    <s v="Q2"/>
    <s v="C94568"/>
    <x v="5"/>
    <n v="4"/>
    <n v="484.85"/>
    <s v="317 Main St"/>
    <x v="0"/>
    <x v="3"/>
    <s v="TRK58653915"/>
    <n v="5"/>
    <x v="3"/>
    <x v="1"/>
    <n v="1939.4"/>
    <n v="1939.4"/>
  </r>
  <r>
    <x v="482"/>
    <x v="380"/>
    <x v="2"/>
    <s v="Q1"/>
    <s v="C35852"/>
    <x v="0"/>
    <n v="3"/>
    <n v="381.41"/>
    <s v="989 Main St"/>
    <x v="1"/>
    <x v="4"/>
    <s v="TRK22302049"/>
    <n v="6"/>
    <x v="2"/>
    <x v="0"/>
    <n v="1144.23"/>
    <n v="1144.23"/>
  </r>
  <r>
    <x v="483"/>
    <x v="381"/>
    <x v="0"/>
    <s v="Q1"/>
    <s v="C66462"/>
    <x v="1"/>
    <n v="5"/>
    <n v="347.92"/>
    <s v="982 Main St"/>
    <x v="4"/>
    <x v="4"/>
    <s v="TRK52743700"/>
    <n v="6"/>
    <x v="3"/>
    <x v="4"/>
    <n v="1739.6"/>
    <n v="1739.6"/>
  </r>
  <r>
    <x v="484"/>
    <x v="382"/>
    <x v="1"/>
    <s v="Q2"/>
    <s v="C29092"/>
    <x v="3"/>
    <n v="4"/>
    <n v="15.01"/>
    <s v="767 Main St"/>
    <x v="4"/>
    <x v="1"/>
    <s v="TRK90455340"/>
    <n v="6"/>
    <x v="2"/>
    <x v="3"/>
    <n v="60.04"/>
    <n v="60.04"/>
  </r>
  <r>
    <x v="485"/>
    <x v="383"/>
    <x v="0"/>
    <s v="Q3"/>
    <s v="C46651"/>
    <x v="3"/>
    <n v="3"/>
    <n v="404.79"/>
    <s v="764 Main St"/>
    <x v="4"/>
    <x v="0"/>
    <s v="TRK67679195"/>
    <n v="6"/>
    <x v="0"/>
    <x v="0"/>
    <n v="1214.3699999999999"/>
    <n v="1214.3699999999999"/>
  </r>
  <r>
    <x v="486"/>
    <x v="384"/>
    <x v="0"/>
    <s v="Q1"/>
    <s v="C88981"/>
    <x v="4"/>
    <n v="4"/>
    <n v="611.26"/>
    <s v="558 Main St"/>
    <x v="4"/>
    <x v="0"/>
    <s v="TRK75267873"/>
    <n v="5"/>
    <x v="0"/>
    <x v="1"/>
    <n v="2445.04"/>
    <n v="2445.04"/>
  </r>
  <r>
    <x v="487"/>
    <x v="338"/>
    <x v="0"/>
    <s v="Q1"/>
    <s v="C40136"/>
    <x v="4"/>
    <n v="3"/>
    <n v="346.52"/>
    <s v="211 Main St"/>
    <x v="2"/>
    <x v="4"/>
    <s v="TRK92924852"/>
    <n v="3"/>
    <x v="0"/>
    <x v="4"/>
    <n v="1039.56"/>
    <n v="1039.56"/>
  </r>
  <r>
    <x v="488"/>
    <x v="194"/>
    <x v="1"/>
    <s v="Q4"/>
    <s v="C81573"/>
    <x v="3"/>
    <n v="1"/>
    <n v="36.65"/>
    <s v="556 Main St"/>
    <x v="1"/>
    <x v="1"/>
    <s v="TRK96522994"/>
    <n v="1"/>
    <x v="3"/>
    <x v="2"/>
    <n v="36.65"/>
    <n v="36.65"/>
  </r>
  <r>
    <x v="489"/>
    <x v="189"/>
    <x v="0"/>
    <s v="Q3"/>
    <s v="C11940"/>
    <x v="2"/>
    <n v="3"/>
    <n v="149.34"/>
    <s v="589 Main St"/>
    <x v="3"/>
    <x v="1"/>
    <s v="TRK85466461"/>
    <n v="7"/>
    <x v="3"/>
    <x v="2"/>
    <n v="448.02"/>
    <n v="448.02"/>
  </r>
  <r>
    <x v="490"/>
    <x v="319"/>
    <x v="1"/>
    <s v="Q3"/>
    <s v="C50097"/>
    <x v="3"/>
    <n v="5"/>
    <n v="467.81"/>
    <s v="539 Main St"/>
    <x v="1"/>
    <x v="1"/>
    <s v="TRK62785150"/>
    <n v="10"/>
    <x v="2"/>
    <x v="3"/>
    <n v="2339.0500000000002"/>
    <n v="2339.0500000000002"/>
  </r>
  <r>
    <x v="491"/>
    <x v="314"/>
    <x v="0"/>
    <s v="Q1"/>
    <s v="C98168"/>
    <x v="1"/>
    <n v="5"/>
    <n v="420.7"/>
    <s v="481 Main St"/>
    <x v="4"/>
    <x v="4"/>
    <s v="TRK56423359"/>
    <n v="5"/>
    <x v="3"/>
    <x v="3"/>
    <n v="2103.5"/>
    <n v="2103.5"/>
  </r>
  <r>
    <x v="492"/>
    <x v="385"/>
    <x v="0"/>
    <s v="Q4"/>
    <s v="C39074"/>
    <x v="5"/>
    <n v="5"/>
    <n v="606.52"/>
    <s v="103 Main St"/>
    <x v="0"/>
    <x v="0"/>
    <s v="TRK13027036"/>
    <n v="6"/>
    <x v="0"/>
    <x v="0"/>
    <n v="3032.6"/>
    <n v="3032.6"/>
  </r>
  <r>
    <x v="493"/>
    <x v="386"/>
    <x v="2"/>
    <s v="Q1"/>
    <s v="C84908"/>
    <x v="1"/>
    <n v="1"/>
    <n v="420.26"/>
    <s v="372 Main St"/>
    <x v="2"/>
    <x v="4"/>
    <s v="TRK64135970"/>
    <n v="4"/>
    <x v="1"/>
    <x v="3"/>
    <n v="420.26"/>
    <n v="420.26"/>
  </r>
  <r>
    <x v="494"/>
    <x v="45"/>
    <x v="0"/>
    <s v="Q3"/>
    <s v="C64516"/>
    <x v="5"/>
    <n v="3"/>
    <n v="505.79"/>
    <s v="459 Main St"/>
    <x v="0"/>
    <x v="4"/>
    <s v="TRK63920573"/>
    <n v="3"/>
    <x v="1"/>
    <x v="1"/>
    <n v="1517.37"/>
    <n v="1517.37"/>
  </r>
  <r>
    <x v="495"/>
    <x v="85"/>
    <x v="2"/>
    <s v="Q2"/>
    <s v="C63827"/>
    <x v="1"/>
    <n v="4"/>
    <n v="493.73"/>
    <s v="947 Main St"/>
    <x v="0"/>
    <x v="4"/>
    <s v="TRK35730581"/>
    <n v="6"/>
    <x v="0"/>
    <x v="3"/>
    <n v="1974.92"/>
    <n v="1974.92"/>
  </r>
  <r>
    <x v="496"/>
    <x v="387"/>
    <x v="2"/>
    <s v="Q1"/>
    <s v="C93618"/>
    <x v="4"/>
    <n v="3"/>
    <n v="201.21"/>
    <s v="249 Main St"/>
    <x v="1"/>
    <x v="1"/>
    <s v="TRK66129326"/>
    <n v="3"/>
    <x v="0"/>
    <x v="4"/>
    <n v="603.63"/>
    <n v="603.63"/>
  </r>
  <r>
    <x v="497"/>
    <x v="101"/>
    <x v="1"/>
    <s v="Q4"/>
    <s v="C93948"/>
    <x v="4"/>
    <n v="3"/>
    <n v="112.29"/>
    <s v="454 Main St"/>
    <x v="3"/>
    <x v="0"/>
    <s v="TRK77358113"/>
    <n v="6"/>
    <x v="2"/>
    <x v="4"/>
    <n v="336.87"/>
    <n v="336.87"/>
  </r>
  <r>
    <x v="498"/>
    <x v="219"/>
    <x v="0"/>
    <s v="Q3"/>
    <s v="C73961"/>
    <x v="2"/>
    <n v="4"/>
    <n v="132.56"/>
    <s v="306 Main St"/>
    <x v="4"/>
    <x v="2"/>
    <s v="TRK32607173"/>
    <n v="8"/>
    <x v="3"/>
    <x v="0"/>
    <n v="530.24"/>
    <n v="530.24"/>
  </r>
  <r>
    <x v="499"/>
    <x v="388"/>
    <x v="0"/>
    <s v="Q2"/>
    <s v="C18138"/>
    <x v="4"/>
    <n v="3"/>
    <n v="539.46"/>
    <s v="520 Main St"/>
    <x v="2"/>
    <x v="0"/>
    <s v="TRK20289483"/>
    <n v="4"/>
    <x v="0"/>
    <x v="3"/>
    <n v="1618.38"/>
    <n v="1618.38"/>
  </r>
  <r>
    <x v="500"/>
    <x v="158"/>
    <x v="1"/>
    <s v="Q2"/>
    <s v="C79475"/>
    <x v="5"/>
    <n v="5"/>
    <n v="508.59"/>
    <s v="169 Main St"/>
    <x v="4"/>
    <x v="2"/>
    <s v="TRK42168516"/>
    <n v="8"/>
    <x v="3"/>
    <x v="3"/>
    <n v="2542.9499999999998"/>
    <n v="2542.9499999999998"/>
  </r>
  <r>
    <x v="501"/>
    <x v="389"/>
    <x v="1"/>
    <s v="Q1"/>
    <s v="C88546"/>
    <x v="6"/>
    <n v="4"/>
    <n v="203.46"/>
    <s v="226 Main St"/>
    <x v="2"/>
    <x v="4"/>
    <s v="TRK19867754"/>
    <n v="7"/>
    <x v="0"/>
    <x v="1"/>
    <n v="813.84"/>
    <n v="813.84"/>
  </r>
  <r>
    <x v="502"/>
    <x v="390"/>
    <x v="0"/>
    <s v="Q2"/>
    <s v="C69332"/>
    <x v="0"/>
    <n v="3"/>
    <n v="565.25"/>
    <s v="745 Main St"/>
    <x v="0"/>
    <x v="2"/>
    <s v="TRK65718848"/>
    <n v="7"/>
    <x v="0"/>
    <x v="2"/>
    <n v="1695.75"/>
    <n v="1695.75"/>
  </r>
  <r>
    <x v="503"/>
    <x v="303"/>
    <x v="0"/>
    <s v="Q3"/>
    <s v="C64554"/>
    <x v="2"/>
    <n v="3"/>
    <n v="136.84"/>
    <s v="498 Main St"/>
    <x v="1"/>
    <x v="4"/>
    <s v="TRK95384568"/>
    <n v="4"/>
    <x v="1"/>
    <x v="3"/>
    <n v="410.52"/>
    <n v="410.52"/>
  </r>
  <r>
    <x v="504"/>
    <x v="113"/>
    <x v="2"/>
    <s v="Q2"/>
    <s v="C11676"/>
    <x v="0"/>
    <n v="2"/>
    <n v="464.5"/>
    <s v="805 Main St"/>
    <x v="1"/>
    <x v="1"/>
    <s v="TRK35726395"/>
    <n v="2"/>
    <x v="3"/>
    <x v="0"/>
    <n v="929"/>
    <n v="929"/>
  </r>
  <r>
    <x v="505"/>
    <x v="236"/>
    <x v="0"/>
    <s v="Q2"/>
    <s v="C36014"/>
    <x v="4"/>
    <n v="2"/>
    <n v="434.97"/>
    <s v="558 Main St"/>
    <x v="1"/>
    <x v="0"/>
    <s v="TRK97246526"/>
    <n v="7"/>
    <x v="2"/>
    <x v="2"/>
    <n v="869.94"/>
    <n v="869.94"/>
  </r>
  <r>
    <x v="506"/>
    <x v="284"/>
    <x v="0"/>
    <s v="Q3"/>
    <s v="C23279"/>
    <x v="0"/>
    <n v="2"/>
    <n v="43.67"/>
    <s v="696 Main St"/>
    <x v="4"/>
    <x v="2"/>
    <s v="TRK58039693"/>
    <n v="4"/>
    <x v="3"/>
    <x v="0"/>
    <n v="87.34"/>
    <n v="87.34"/>
  </r>
  <r>
    <x v="507"/>
    <x v="176"/>
    <x v="0"/>
    <s v="Q3"/>
    <s v="C86481"/>
    <x v="1"/>
    <n v="1"/>
    <n v="171.59"/>
    <s v="546 Main St"/>
    <x v="2"/>
    <x v="4"/>
    <s v="TRK87513944"/>
    <n v="5"/>
    <x v="3"/>
    <x v="2"/>
    <n v="171.59"/>
    <n v="171.59"/>
  </r>
  <r>
    <x v="508"/>
    <x v="391"/>
    <x v="2"/>
    <s v="Q2"/>
    <s v="C39550"/>
    <x v="1"/>
    <n v="1"/>
    <n v="558.27"/>
    <s v="976 Main St"/>
    <x v="1"/>
    <x v="3"/>
    <s v="TRK24120267"/>
    <n v="1"/>
    <x v="2"/>
    <x v="1"/>
    <n v="558.27"/>
    <n v="558.27"/>
  </r>
  <r>
    <x v="509"/>
    <x v="392"/>
    <x v="0"/>
    <s v="Q1"/>
    <s v="C68937"/>
    <x v="5"/>
    <n v="2"/>
    <n v="425.03"/>
    <s v="560 Main St"/>
    <x v="4"/>
    <x v="2"/>
    <s v="TRK31908657"/>
    <n v="2"/>
    <x v="3"/>
    <x v="4"/>
    <n v="850.06"/>
    <n v="850.06"/>
  </r>
  <r>
    <x v="510"/>
    <x v="393"/>
    <x v="1"/>
    <s v="Q4"/>
    <s v="C72533"/>
    <x v="4"/>
    <n v="1"/>
    <n v="376.76"/>
    <s v="389 Main St"/>
    <x v="0"/>
    <x v="3"/>
    <s v="TRK51288986"/>
    <n v="5"/>
    <x v="0"/>
    <x v="2"/>
    <n v="376.76"/>
    <n v="376.76"/>
  </r>
  <r>
    <x v="511"/>
    <x v="394"/>
    <x v="1"/>
    <s v="Q1"/>
    <s v="C11415"/>
    <x v="0"/>
    <n v="5"/>
    <n v="575.24"/>
    <s v="267 Main St"/>
    <x v="4"/>
    <x v="3"/>
    <s v="TRK65061457"/>
    <n v="7"/>
    <x v="3"/>
    <x v="2"/>
    <n v="2876.2"/>
    <n v="2876.2"/>
  </r>
  <r>
    <x v="512"/>
    <x v="395"/>
    <x v="1"/>
    <s v="Q3"/>
    <s v="C14114"/>
    <x v="6"/>
    <n v="3"/>
    <n v="568.02"/>
    <s v="856 Main St"/>
    <x v="1"/>
    <x v="4"/>
    <s v="TRK63290700"/>
    <n v="3"/>
    <x v="1"/>
    <x v="0"/>
    <n v="1704.06"/>
    <n v="1704.06"/>
  </r>
  <r>
    <x v="513"/>
    <x v="396"/>
    <x v="2"/>
    <s v="Q1"/>
    <s v="C64128"/>
    <x v="2"/>
    <n v="3"/>
    <n v="94.88"/>
    <s v="533 Main St"/>
    <x v="3"/>
    <x v="0"/>
    <s v="TRK37053575"/>
    <n v="8"/>
    <x v="2"/>
    <x v="1"/>
    <n v="284.64"/>
    <n v="284.64"/>
  </r>
  <r>
    <x v="514"/>
    <x v="397"/>
    <x v="0"/>
    <s v="Q2"/>
    <s v="C15629"/>
    <x v="4"/>
    <n v="3"/>
    <n v="304.14999999999998"/>
    <s v="492 Main St"/>
    <x v="3"/>
    <x v="0"/>
    <s v="TRK64926044"/>
    <n v="3"/>
    <x v="3"/>
    <x v="0"/>
    <n v="912.45"/>
    <n v="912.45"/>
  </r>
  <r>
    <x v="515"/>
    <x v="369"/>
    <x v="0"/>
    <s v="Q1"/>
    <s v="C67561"/>
    <x v="1"/>
    <n v="3"/>
    <n v="553.52"/>
    <s v="160 Main St"/>
    <x v="3"/>
    <x v="0"/>
    <s v="TRK75900717"/>
    <n v="4"/>
    <x v="1"/>
    <x v="3"/>
    <n v="1660.56"/>
    <n v="1660.56"/>
  </r>
  <r>
    <x v="516"/>
    <x v="158"/>
    <x v="1"/>
    <s v="Q2"/>
    <s v="C47022"/>
    <x v="0"/>
    <n v="3"/>
    <n v="166.99"/>
    <s v="208 Main St"/>
    <x v="4"/>
    <x v="2"/>
    <s v="TRK28855040"/>
    <n v="8"/>
    <x v="2"/>
    <x v="3"/>
    <n v="500.97"/>
    <n v="500.97"/>
  </r>
  <r>
    <x v="517"/>
    <x v="398"/>
    <x v="1"/>
    <s v="Q2"/>
    <s v="C55205"/>
    <x v="2"/>
    <n v="4"/>
    <n v="198.35"/>
    <s v="943 Main St"/>
    <x v="4"/>
    <x v="1"/>
    <s v="TRK88141634"/>
    <n v="7"/>
    <x v="1"/>
    <x v="4"/>
    <n v="793.4"/>
    <n v="793.4"/>
  </r>
  <r>
    <x v="518"/>
    <x v="399"/>
    <x v="2"/>
    <s v="Q2"/>
    <s v="C30686"/>
    <x v="4"/>
    <n v="4"/>
    <n v="403.58"/>
    <s v="319 Main St"/>
    <x v="1"/>
    <x v="4"/>
    <s v="TRK59807273"/>
    <n v="9"/>
    <x v="0"/>
    <x v="1"/>
    <n v="1614.32"/>
    <n v="1614.32"/>
  </r>
  <r>
    <x v="519"/>
    <x v="400"/>
    <x v="2"/>
    <s v="Q2"/>
    <s v="C71797"/>
    <x v="5"/>
    <n v="4"/>
    <n v="464.29"/>
    <s v="941 Main St"/>
    <x v="0"/>
    <x v="2"/>
    <s v="TRK66010667"/>
    <n v="5"/>
    <x v="0"/>
    <x v="2"/>
    <n v="1857.16"/>
    <n v="1857.16"/>
  </r>
  <r>
    <x v="520"/>
    <x v="401"/>
    <x v="0"/>
    <s v="Q1"/>
    <s v="C66332"/>
    <x v="0"/>
    <n v="3"/>
    <n v="635.98"/>
    <s v="959 Main St"/>
    <x v="4"/>
    <x v="2"/>
    <s v="TRK27063398"/>
    <n v="5"/>
    <x v="2"/>
    <x v="1"/>
    <n v="1907.94"/>
    <n v="1907.94"/>
  </r>
  <r>
    <x v="521"/>
    <x v="402"/>
    <x v="1"/>
    <s v="Q1"/>
    <s v="C82318"/>
    <x v="1"/>
    <n v="1"/>
    <n v="528.05999999999995"/>
    <s v="991 Main St"/>
    <x v="2"/>
    <x v="0"/>
    <s v="TRK37534165"/>
    <n v="2"/>
    <x v="2"/>
    <x v="3"/>
    <n v="528.05999999999995"/>
    <n v="528.05999999999995"/>
  </r>
  <r>
    <x v="522"/>
    <x v="322"/>
    <x v="1"/>
    <s v="Q2"/>
    <s v="C66254"/>
    <x v="3"/>
    <n v="1"/>
    <n v="515.32000000000005"/>
    <s v="740 Main St"/>
    <x v="3"/>
    <x v="1"/>
    <s v="TRK82843861"/>
    <n v="1"/>
    <x v="1"/>
    <x v="2"/>
    <n v="515.32000000000005"/>
    <n v="515.32000000000005"/>
  </r>
  <r>
    <x v="523"/>
    <x v="403"/>
    <x v="2"/>
    <s v="Q1"/>
    <s v="C65083"/>
    <x v="6"/>
    <n v="4"/>
    <n v="657.79"/>
    <s v="652 Main St"/>
    <x v="2"/>
    <x v="2"/>
    <s v="TRK60937148"/>
    <n v="6"/>
    <x v="3"/>
    <x v="4"/>
    <n v="2631.16"/>
    <n v="2631.16"/>
  </r>
  <r>
    <x v="524"/>
    <x v="385"/>
    <x v="0"/>
    <s v="Q4"/>
    <s v="C44778"/>
    <x v="1"/>
    <n v="1"/>
    <n v="153"/>
    <s v="103 Main St"/>
    <x v="2"/>
    <x v="2"/>
    <s v="TRK92617366"/>
    <n v="4"/>
    <x v="2"/>
    <x v="1"/>
    <n v="153"/>
    <n v="153"/>
  </r>
  <r>
    <x v="525"/>
    <x v="404"/>
    <x v="0"/>
    <s v="Q4"/>
    <s v="C54499"/>
    <x v="0"/>
    <n v="1"/>
    <n v="668.48"/>
    <s v="160 Main St"/>
    <x v="0"/>
    <x v="0"/>
    <s v="TRK18061555"/>
    <n v="1"/>
    <x v="0"/>
    <x v="2"/>
    <n v="668.48"/>
    <n v="668.48"/>
  </r>
  <r>
    <x v="526"/>
    <x v="405"/>
    <x v="1"/>
    <s v="Q1"/>
    <s v="C91201"/>
    <x v="6"/>
    <n v="2"/>
    <n v="46.5"/>
    <s v="837 Main St"/>
    <x v="4"/>
    <x v="2"/>
    <s v="TRK63526023"/>
    <n v="7"/>
    <x v="3"/>
    <x v="4"/>
    <n v="93"/>
    <n v="93"/>
  </r>
  <r>
    <x v="527"/>
    <x v="406"/>
    <x v="1"/>
    <s v="Q3"/>
    <s v="C27202"/>
    <x v="3"/>
    <n v="5"/>
    <n v="653.47"/>
    <s v="967 Main St"/>
    <x v="2"/>
    <x v="1"/>
    <s v="TRK75406128"/>
    <n v="10"/>
    <x v="0"/>
    <x v="1"/>
    <n v="3267.35"/>
    <n v="3267.35"/>
  </r>
  <r>
    <x v="528"/>
    <x v="407"/>
    <x v="2"/>
    <s v="Q1"/>
    <s v="C32011"/>
    <x v="3"/>
    <n v="1"/>
    <n v="628.89"/>
    <s v="686 Main St"/>
    <x v="2"/>
    <x v="2"/>
    <s v="TRK70997744"/>
    <n v="2"/>
    <x v="0"/>
    <x v="1"/>
    <n v="628.89"/>
    <n v="628.89"/>
  </r>
  <r>
    <x v="529"/>
    <x v="158"/>
    <x v="1"/>
    <s v="Q2"/>
    <s v="C21181"/>
    <x v="2"/>
    <n v="2"/>
    <n v="675.1"/>
    <s v="938 Main St"/>
    <x v="4"/>
    <x v="4"/>
    <s v="TRK50363421"/>
    <n v="4"/>
    <x v="1"/>
    <x v="4"/>
    <n v="1350.2"/>
    <n v="1350.2"/>
  </r>
  <r>
    <x v="530"/>
    <x v="408"/>
    <x v="1"/>
    <s v="Q3"/>
    <s v="C98450"/>
    <x v="3"/>
    <n v="4"/>
    <n v="89.41"/>
    <s v="613 Main St"/>
    <x v="1"/>
    <x v="4"/>
    <s v="TRK14809530"/>
    <n v="9"/>
    <x v="2"/>
    <x v="4"/>
    <n v="357.64"/>
    <n v="357.64"/>
  </r>
  <r>
    <x v="531"/>
    <x v="367"/>
    <x v="1"/>
    <s v="Q3"/>
    <s v="C64502"/>
    <x v="6"/>
    <n v="5"/>
    <n v="320.01"/>
    <s v="722 Main St"/>
    <x v="3"/>
    <x v="3"/>
    <s v="TRK14914388"/>
    <n v="6"/>
    <x v="2"/>
    <x v="1"/>
    <n v="1600.05"/>
    <n v="1600.05"/>
  </r>
  <r>
    <x v="532"/>
    <x v="120"/>
    <x v="2"/>
    <s v="Q2"/>
    <s v="C47365"/>
    <x v="5"/>
    <n v="2"/>
    <n v="41"/>
    <s v="369 Main St"/>
    <x v="1"/>
    <x v="3"/>
    <s v="TRK42207882"/>
    <n v="7"/>
    <x v="2"/>
    <x v="2"/>
    <n v="82"/>
    <n v="82"/>
  </r>
  <r>
    <x v="533"/>
    <x v="409"/>
    <x v="0"/>
    <s v="Q1"/>
    <s v="C66349"/>
    <x v="6"/>
    <n v="1"/>
    <n v="565.85"/>
    <s v="715 Main St"/>
    <x v="3"/>
    <x v="2"/>
    <s v="TRK63550793"/>
    <n v="1"/>
    <x v="1"/>
    <x v="3"/>
    <n v="565.85"/>
    <n v="565.85"/>
  </r>
  <r>
    <x v="534"/>
    <x v="309"/>
    <x v="1"/>
    <s v="Q2"/>
    <s v="C73289"/>
    <x v="3"/>
    <n v="3"/>
    <n v="648.59"/>
    <s v="906 Main St"/>
    <x v="0"/>
    <x v="1"/>
    <s v="TRK70872738"/>
    <n v="4"/>
    <x v="0"/>
    <x v="2"/>
    <n v="1945.77"/>
    <n v="1945.77"/>
  </r>
  <r>
    <x v="535"/>
    <x v="25"/>
    <x v="1"/>
    <s v="Q3"/>
    <s v="C48649"/>
    <x v="0"/>
    <n v="3"/>
    <n v="68.12"/>
    <s v="332 Main St"/>
    <x v="1"/>
    <x v="1"/>
    <s v="TRK45821445"/>
    <n v="3"/>
    <x v="1"/>
    <x v="2"/>
    <n v="204.36"/>
    <n v="204.36"/>
  </r>
  <r>
    <x v="536"/>
    <x v="410"/>
    <x v="1"/>
    <s v="Q2"/>
    <s v="C18724"/>
    <x v="3"/>
    <n v="1"/>
    <n v="616.1"/>
    <s v="124 Main St"/>
    <x v="4"/>
    <x v="2"/>
    <s v="TRK52508861"/>
    <n v="6"/>
    <x v="2"/>
    <x v="2"/>
    <n v="616.1"/>
    <n v="616.1"/>
  </r>
  <r>
    <x v="537"/>
    <x v="411"/>
    <x v="2"/>
    <s v="Q1"/>
    <s v="C68553"/>
    <x v="2"/>
    <n v="3"/>
    <n v="247.47"/>
    <s v="385 Main St"/>
    <x v="1"/>
    <x v="3"/>
    <s v="TRK58218971"/>
    <n v="4"/>
    <x v="0"/>
    <x v="3"/>
    <n v="742.41"/>
    <n v="742.41"/>
  </r>
  <r>
    <x v="538"/>
    <x v="75"/>
    <x v="1"/>
    <s v="Q2"/>
    <s v="C61280"/>
    <x v="1"/>
    <n v="3"/>
    <n v="490.74"/>
    <s v="100 Main St"/>
    <x v="4"/>
    <x v="0"/>
    <s v="TRK95487711"/>
    <n v="3"/>
    <x v="3"/>
    <x v="2"/>
    <n v="1472.22"/>
    <n v="1472.22"/>
  </r>
  <r>
    <x v="539"/>
    <x v="403"/>
    <x v="2"/>
    <s v="Q1"/>
    <s v="C53277"/>
    <x v="6"/>
    <n v="3"/>
    <n v="531.72"/>
    <s v="473 Main St"/>
    <x v="3"/>
    <x v="3"/>
    <s v="TRK17653832"/>
    <n v="7"/>
    <x v="0"/>
    <x v="4"/>
    <n v="1595.16"/>
    <n v="1595.16"/>
  </r>
  <r>
    <x v="540"/>
    <x v="412"/>
    <x v="1"/>
    <s v="Q1"/>
    <s v="C87281"/>
    <x v="5"/>
    <n v="5"/>
    <n v="648.65"/>
    <s v="852 Main St"/>
    <x v="1"/>
    <x v="4"/>
    <s v="TRK81765057"/>
    <n v="7"/>
    <x v="2"/>
    <x v="1"/>
    <n v="3243.25"/>
    <n v="3243.25"/>
  </r>
  <r>
    <x v="541"/>
    <x v="413"/>
    <x v="0"/>
    <s v="Q3"/>
    <s v="C69009"/>
    <x v="4"/>
    <n v="5"/>
    <n v="456.06"/>
    <s v="879 Main St"/>
    <x v="4"/>
    <x v="4"/>
    <s v="TRK61295842"/>
    <n v="10"/>
    <x v="2"/>
    <x v="0"/>
    <n v="2280.3000000000002"/>
    <n v="2280.3000000000002"/>
  </r>
  <r>
    <x v="542"/>
    <x v="414"/>
    <x v="0"/>
    <s v="Q4"/>
    <s v="C49726"/>
    <x v="2"/>
    <n v="1"/>
    <n v="17.98"/>
    <s v="934 Main St"/>
    <x v="4"/>
    <x v="1"/>
    <s v="TRK20739460"/>
    <n v="6"/>
    <x v="1"/>
    <x v="2"/>
    <n v="17.98"/>
    <n v="17.98"/>
  </r>
  <r>
    <x v="543"/>
    <x v="415"/>
    <x v="1"/>
    <s v="Q1"/>
    <s v="C37531"/>
    <x v="6"/>
    <n v="5"/>
    <n v="269.86"/>
    <s v="354 Main St"/>
    <x v="4"/>
    <x v="0"/>
    <s v="TRK93877673"/>
    <n v="6"/>
    <x v="3"/>
    <x v="3"/>
    <n v="1349.3"/>
    <n v="1349.3"/>
  </r>
  <r>
    <x v="544"/>
    <x v="416"/>
    <x v="1"/>
    <s v="Q1"/>
    <s v="C48713"/>
    <x v="4"/>
    <n v="5"/>
    <n v="31.96"/>
    <s v="373 Main St"/>
    <x v="2"/>
    <x v="2"/>
    <s v="TRK96334419"/>
    <n v="5"/>
    <x v="1"/>
    <x v="1"/>
    <n v="159.80000000000001"/>
    <n v="159.80000000000001"/>
  </r>
  <r>
    <x v="545"/>
    <x v="263"/>
    <x v="0"/>
    <s v="Q4"/>
    <s v="C74138"/>
    <x v="0"/>
    <n v="2"/>
    <n v="98.47"/>
    <s v="964 Main St"/>
    <x v="4"/>
    <x v="2"/>
    <s v="TRK74091695"/>
    <n v="3"/>
    <x v="2"/>
    <x v="0"/>
    <n v="196.94"/>
    <n v="196.94"/>
  </r>
  <r>
    <x v="546"/>
    <x v="417"/>
    <x v="1"/>
    <s v="Q1"/>
    <s v="C82399"/>
    <x v="0"/>
    <n v="1"/>
    <n v="158.68"/>
    <s v="928 Main St"/>
    <x v="2"/>
    <x v="2"/>
    <s v="TRK77177284"/>
    <n v="6"/>
    <x v="3"/>
    <x v="0"/>
    <n v="158.68"/>
    <n v="158.68"/>
  </r>
  <r>
    <x v="547"/>
    <x v="38"/>
    <x v="0"/>
    <s v="Q3"/>
    <s v="C40427"/>
    <x v="1"/>
    <n v="1"/>
    <n v="613.98"/>
    <s v="411 Main St"/>
    <x v="1"/>
    <x v="3"/>
    <s v="TRK25392280"/>
    <n v="4"/>
    <x v="1"/>
    <x v="3"/>
    <n v="613.98"/>
    <n v="613.98"/>
  </r>
  <r>
    <x v="548"/>
    <x v="80"/>
    <x v="1"/>
    <s v="Q1"/>
    <s v="C17103"/>
    <x v="4"/>
    <n v="3"/>
    <n v="426.12"/>
    <s v="922 Main St"/>
    <x v="1"/>
    <x v="3"/>
    <s v="TRK64398650"/>
    <n v="5"/>
    <x v="3"/>
    <x v="0"/>
    <n v="1278.3599999999999"/>
    <n v="1278.3599999999999"/>
  </r>
  <r>
    <x v="549"/>
    <x v="86"/>
    <x v="2"/>
    <s v="Q1"/>
    <s v="C34266"/>
    <x v="0"/>
    <n v="4"/>
    <n v="629.88"/>
    <s v="550 Main St"/>
    <x v="0"/>
    <x v="1"/>
    <s v="TRK56378197"/>
    <n v="8"/>
    <x v="3"/>
    <x v="0"/>
    <n v="2519.52"/>
    <n v="2519.52"/>
  </r>
  <r>
    <x v="550"/>
    <x v="418"/>
    <x v="0"/>
    <s v="Q4"/>
    <s v="C97485"/>
    <x v="5"/>
    <n v="4"/>
    <n v="228.91"/>
    <s v="573 Main St"/>
    <x v="4"/>
    <x v="0"/>
    <s v="TRK81794737"/>
    <n v="4"/>
    <x v="1"/>
    <x v="4"/>
    <n v="915.64"/>
    <n v="915.64"/>
  </r>
  <r>
    <x v="551"/>
    <x v="419"/>
    <x v="0"/>
    <s v="Q2"/>
    <s v="C23947"/>
    <x v="5"/>
    <n v="1"/>
    <n v="120.98"/>
    <s v="353 Main St"/>
    <x v="0"/>
    <x v="3"/>
    <s v="TRK74812710"/>
    <n v="6"/>
    <x v="3"/>
    <x v="2"/>
    <n v="120.98"/>
    <n v="120.98"/>
  </r>
  <r>
    <x v="552"/>
    <x v="420"/>
    <x v="0"/>
    <s v="Q3"/>
    <s v="C21665"/>
    <x v="3"/>
    <n v="4"/>
    <n v="425.18"/>
    <s v="560 Main St"/>
    <x v="1"/>
    <x v="2"/>
    <s v="TRK29890761"/>
    <n v="8"/>
    <x v="3"/>
    <x v="3"/>
    <n v="1700.72"/>
    <n v="1700.72"/>
  </r>
  <r>
    <x v="553"/>
    <x v="421"/>
    <x v="0"/>
    <s v="Q3"/>
    <s v="C82550"/>
    <x v="1"/>
    <n v="2"/>
    <n v="333.83"/>
    <s v="828 Main St"/>
    <x v="3"/>
    <x v="1"/>
    <s v="TRK74103758"/>
    <n v="4"/>
    <x v="1"/>
    <x v="1"/>
    <n v="667.66"/>
    <n v="667.66"/>
  </r>
  <r>
    <x v="554"/>
    <x v="422"/>
    <x v="2"/>
    <s v="Q2"/>
    <s v="C61943"/>
    <x v="5"/>
    <n v="2"/>
    <n v="492.9"/>
    <s v="610 Main St"/>
    <x v="4"/>
    <x v="2"/>
    <s v="TRK66126496"/>
    <n v="5"/>
    <x v="1"/>
    <x v="0"/>
    <n v="985.8"/>
    <n v="985.8"/>
  </r>
  <r>
    <x v="555"/>
    <x v="33"/>
    <x v="0"/>
    <s v="Q1"/>
    <s v="C88933"/>
    <x v="2"/>
    <n v="1"/>
    <n v="92.04"/>
    <s v="333 Main St"/>
    <x v="4"/>
    <x v="0"/>
    <s v="TRK89306964"/>
    <n v="2"/>
    <x v="2"/>
    <x v="3"/>
    <n v="92.04"/>
    <n v="92.04"/>
  </r>
  <r>
    <x v="556"/>
    <x v="423"/>
    <x v="0"/>
    <s v="Q1"/>
    <s v="C30923"/>
    <x v="5"/>
    <n v="1"/>
    <n v="654.27"/>
    <s v="932 Main St"/>
    <x v="3"/>
    <x v="4"/>
    <s v="TRK82609328"/>
    <n v="2"/>
    <x v="0"/>
    <x v="3"/>
    <n v="654.27"/>
    <n v="654.27"/>
  </r>
  <r>
    <x v="557"/>
    <x v="282"/>
    <x v="0"/>
    <s v="Q2"/>
    <s v="C56969"/>
    <x v="2"/>
    <n v="1"/>
    <n v="56.2"/>
    <s v="130 Main St"/>
    <x v="0"/>
    <x v="4"/>
    <s v="TRK40719215"/>
    <n v="1"/>
    <x v="3"/>
    <x v="3"/>
    <n v="56.2"/>
    <n v="56.2"/>
  </r>
  <r>
    <x v="558"/>
    <x v="424"/>
    <x v="1"/>
    <s v="Q3"/>
    <s v="C76766"/>
    <x v="1"/>
    <n v="4"/>
    <n v="628.12"/>
    <s v="485 Main St"/>
    <x v="1"/>
    <x v="3"/>
    <s v="TRK32052962"/>
    <n v="6"/>
    <x v="3"/>
    <x v="0"/>
    <n v="2512.48"/>
    <n v="2512.48"/>
  </r>
  <r>
    <x v="559"/>
    <x v="116"/>
    <x v="1"/>
    <s v="Q2"/>
    <s v="C22981"/>
    <x v="6"/>
    <n v="3"/>
    <n v="157.4"/>
    <s v="454 Main St"/>
    <x v="0"/>
    <x v="1"/>
    <s v="TRK10115285"/>
    <n v="7"/>
    <x v="3"/>
    <x v="2"/>
    <n v="472.2"/>
    <n v="472.2"/>
  </r>
  <r>
    <x v="560"/>
    <x v="425"/>
    <x v="0"/>
    <s v="Q1"/>
    <s v="C33634"/>
    <x v="0"/>
    <n v="4"/>
    <n v="588.85"/>
    <s v="524 Main St"/>
    <x v="3"/>
    <x v="4"/>
    <s v="TRK93168008"/>
    <n v="7"/>
    <x v="2"/>
    <x v="2"/>
    <n v="2355.4"/>
    <n v="2355.4"/>
  </r>
  <r>
    <x v="561"/>
    <x v="425"/>
    <x v="0"/>
    <s v="Q1"/>
    <s v="C96822"/>
    <x v="4"/>
    <n v="2"/>
    <n v="494.78"/>
    <s v="198 Main St"/>
    <x v="1"/>
    <x v="0"/>
    <s v="TRK89180077"/>
    <n v="2"/>
    <x v="2"/>
    <x v="4"/>
    <n v="989.56"/>
    <n v="989.56"/>
  </r>
  <r>
    <x v="562"/>
    <x v="426"/>
    <x v="0"/>
    <s v="Q4"/>
    <s v="C76675"/>
    <x v="5"/>
    <n v="3"/>
    <n v="663.93"/>
    <s v="922 Main St"/>
    <x v="3"/>
    <x v="2"/>
    <s v="TRK28043915"/>
    <n v="6"/>
    <x v="1"/>
    <x v="2"/>
    <n v="1991.79"/>
    <n v="1991.79"/>
  </r>
  <r>
    <x v="563"/>
    <x v="427"/>
    <x v="0"/>
    <s v="Q4"/>
    <s v="C12039"/>
    <x v="5"/>
    <n v="1"/>
    <n v="132.68"/>
    <s v="844 Main St"/>
    <x v="0"/>
    <x v="2"/>
    <s v="TRK68645763"/>
    <n v="1"/>
    <x v="0"/>
    <x v="1"/>
    <n v="132.68"/>
    <n v="132.68"/>
  </r>
  <r>
    <x v="564"/>
    <x v="428"/>
    <x v="2"/>
    <s v="Q2"/>
    <s v="C93309"/>
    <x v="6"/>
    <n v="5"/>
    <n v="364.28"/>
    <s v="734 Main St"/>
    <x v="2"/>
    <x v="1"/>
    <s v="TRK99446987"/>
    <n v="5"/>
    <x v="3"/>
    <x v="4"/>
    <n v="1821.4"/>
    <n v="1821.4"/>
  </r>
  <r>
    <x v="565"/>
    <x v="429"/>
    <x v="0"/>
    <s v="Q2"/>
    <s v="C62042"/>
    <x v="2"/>
    <n v="5"/>
    <n v="307.98"/>
    <s v="214 Main St"/>
    <x v="1"/>
    <x v="4"/>
    <s v="TRK42605492"/>
    <n v="10"/>
    <x v="2"/>
    <x v="3"/>
    <n v="1539.9"/>
    <n v="1539.9"/>
  </r>
  <r>
    <x v="566"/>
    <x v="171"/>
    <x v="1"/>
    <s v="Q2"/>
    <s v="C83223"/>
    <x v="1"/>
    <n v="4"/>
    <n v="162.71"/>
    <s v="167 Main St"/>
    <x v="4"/>
    <x v="1"/>
    <s v="TRK54339083"/>
    <n v="7"/>
    <x v="1"/>
    <x v="2"/>
    <n v="650.84"/>
    <n v="650.84"/>
  </r>
  <r>
    <x v="567"/>
    <x v="430"/>
    <x v="1"/>
    <s v="Q3"/>
    <s v="C92575"/>
    <x v="3"/>
    <n v="5"/>
    <n v="492.94"/>
    <s v="153 Main St"/>
    <x v="4"/>
    <x v="0"/>
    <s v="TRK53579227"/>
    <n v="10"/>
    <x v="1"/>
    <x v="2"/>
    <n v="2464.6999999999998"/>
    <n v="2464.6999999999998"/>
  </r>
  <r>
    <x v="568"/>
    <x v="401"/>
    <x v="0"/>
    <s v="Q1"/>
    <s v="C29072"/>
    <x v="5"/>
    <n v="2"/>
    <n v="343.99"/>
    <s v="312 Main St"/>
    <x v="1"/>
    <x v="3"/>
    <s v="TRK72334047"/>
    <n v="4"/>
    <x v="2"/>
    <x v="4"/>
    <n v="687.98"/>
    <n v="687.98"/>
  </r>
  <r>
    <x v="569"/>
    <x v="29"/>
    <x v="2"/>
    <s v="Q1"/>
    <s v="C25783"/>
    <x v="6"/>
    <n v="5"/>
    <n v="250.68"/>
    <s v="672 Main St"/>
    <x v="4"/>
    <x v="0"/>
    <s v="TRK13289741"/>
    <n v="8"/>
    <x v="0"/>
    <x v="0"/>
    <n v="1253.4000000000001"/>
    <n v="1253.4000000000001"/>
  </r>
  <r>
    <x v="570"/>
    <x v="431"/>
    <x v="1"/>
    <s v="Q4"/>
    <s v="C63727"/>
    <x v="6"/>
    <n v="2"/>
    <n v="362.14"/>
    <s v="122 Main St"/>
    <x v="0"/>
    <x v="4"/>
    <s v="TRK13611021"/>
    <n v="2"/>
    <x v="0"/>
    <x v="0"/>
    <n v="724.28"/>
    <n v="724.28"/>
  </r>
  <r>
    <x v="571"/>
    <x v="432"/>
    <x v="1"/>
    <s v="Q4"/>
    <s v="C42365"/>
    <x v="2"/>
    <n v="1"/>
    <n v="214.08"/>
    <s v="867 Main St"/>
    <x v="3"/>
    <x v="2"/>
    <s v="TRK39563288"/>
    <n v="2"/>
    <x v="3"/>
    <x v="4"/>
    <n v="214.08"/>
    <n v="214.08"/>
  </r>
  <r>
    <x v="572"/>
    <x v="433"/>
    <x v="0"/>
    <s v="Q4"/>
    <s v="C27438"/>
    <x v="4"/>
    <n v="1"/>
    <n v="70.319999999999993"/>
    <s v="341 Main St"/>
    <x v="4"/>
    <x v="2"/>
    <s v="TRK69125497"/>
    <n v="4"/>
    <x v="3"/>
    <x v="3"/>
    <n v="70.319999999999993"/>
    <n v="70.319999999999993"/>
  </r>
  <r>
    <x v="573"/>
    <x v="261"/>
    <x v="0"/>
    <s v="Q1"/>
    <s v="C13205"/>
    <x v="3"/>
    <n v="5"/>
    <n v="421.42"/>
    <s v="522 Main St"/>
    <x v="0"/>
    <x v="1"/>
    <s v="TRK30686578"/>
    <n v="7"/>
    <x v="2"/>
    <x v="0"/>
    <n v="2107.1"/>
    <n v="2107.1"/>
  </r>
  <r>
    <x v="574"/>
    <x v="434"/>
    <x v="1"/>
    <s v="Q1"/>
    <s v="C29685"/>
    <x v="3"/>
    <n v="5"/>
    <n v="384.69"/>
    <s v="275 Main St"/>
    <x v="2"/>
    <x v="4"/>
    <s v="TRK97733212"/>
    <n v="6"/>
    <x v="1"/>
    <x v="2"/>
    <n v="1923.45"/>
    <n v="1923.45"/>
  </r>
  <r>
    <x v="575"/>
    <x v="323"/>
    <x v="0"/>
    <s v="Q2"/>
    <s v="C74005"/>
    <x v="3"/>
    <n v="5"/>
    <n v="448.15"/>
    <s v="528 Main St"/>
    <x v="3"/>
    <x v="2"/>
    <s v="TRK61640534"/>
    <n v="7"/>
    <x v="0"/>
    <x v="4"/>
    <n v="2240.75"/>
    <n v="2240.75"/>
  </r>
  <r>
    <x v="576"/>
    <x v="382"/>
    <x v="1"/>
    <s v="Q2"/>
    <s v="C14457"/>
    <x v="5"/>
    <n v="5"/>
    <n v="79.08"/>
    <s v="747 Main St"/>
    <x v="4"/>
    <x v="4"/>
    <s v="TRK42517811"/>
    <n v="8"/>
    <x v="2"/>
    <x v="3"/>
    <n v="395.4"/>
    <n v="395.4"/>
  </r>
  <r>
    <x v="577"/>
    <x v="55"/>
    <x v="0"/>
    <s v="Q1"/>
    <s v="C77046"/>
    <x v="2"/>
    <n v="4"/>
    <n v="185.41"/>
    <s v="967 Main St"/>
    <x v="1"/>
    <x v="2"/>
    <s v="TRK44401497"/>
    <n v="9"/>
    <x v="3"/>
    <x v="4"/>
    <n v="741.64"/>
    <n v="741.64"/>
  </r>
  <r>
    <x v="578"/>
    <x v="84"/>
    <x v="1"/>
    <s v="Q4"/>
    <s v="C50415"/>
    <x v="0"/>
    <n v="5"/>
    <n v="566.07000000000005"/>
    <s v="587 Main St"/>
    <x v="2"/>
    <x v="3"/>
    <s v="TRK41345634"/>
    <n v="6"/>
    <x v="0"/>
    <x v="0"/>
    <n v="2830.35"/>
    <n v="2830.35"/>
  </r>
  <r>
    <x v="579"/>
    <x v="243"/>
    <x v="0"/>
    <s v="Q2"/>
    <s v="C73999"/>
    <x v="2"/>
    <n v="2"/>
    <n v="187.88"/>
    <s v="413 Main St"/>
    <x v="1"/>
    <x v="0"/>
    <s v="TRK67919507"/>
    <n v="4"/>
    <x v="3"/>
    <x v="3"/>
    <n v="375.76"/>
    <n v="375.76"/>
  </r>
  <r>
    <x v="580"/>
    <x v="414"/>
    <x v="0"/>
    <s v="Q4"/>
    <s v="C71076"/>
    <x v="0"/>
    <n v="2"/>
    <n v="255.99"/>
    <s v="340 Main St"/>
    <x v="2"/>
    <x v="3"/>
    <s v="TRK65148292"/>
    <n v="4"/>
    <x v="0"/>
    <x v="0"/>
    <n v="511.98"/>
    <n v="511.98"/>
  </r>
  <r>
    <x v="581"/>
    <x v="435"/>
    <x v="1"/>
    <s v="Q4"/>
    <s v="C44674"/>
    <x v="5"/>
    <n v="1"/>
    <n v="627.34"/>
    <s v="942 Main St"/>
    <x v="1"/>
    <x v="3"/>
    <s v="TRK87158684"/>
    <n v="1"/>
    <x v="2"/>
    <x v="1"/>
    <n v="627.34"/>
    <n v="627.34"/>
  </r>
  <r>
    <x v="582"/>
    <x v="436"/>
    <x v="1"/>
    <s v="Q1"/>
    <s v="C15228"/>
    <x v="2"/>
    <n v="3"/>
    <n v="474.14"/>
    <s v="558 Main St"/>
    <x v="3"/>
    <x v="0"/>
    <s v="TRK33860620"/>
    <n v="8"/>
    <x v="3"/>
    <x v="4"/>
    <n v="1422.42"/>
    <n v="1422.42"/>
  </r>
  <r>
    <x v="583"/>
    <x v="437"/>
    <x v="2"/>
    <s v="Q2"/>
    <s v="C27072"/>
    <x v="3"/>
    <n v="3"/>
    <n v="154.37"/>
    <s v="996 Main St"/>
    <x v="3"/>
    <x v="3"/>
    <s v="TRK29750379"/>
    <n v="4"/>
    <x v="2"/>
    <x v="0"/>
    <n v="463.11"/>
    <n v="463.11"/>
  </r>
  <r>
    <x v="584"/>
    <x v="438"/>
    <x v="2"/>
    <s v="Q1"/>
    <s v="C15257"/>
    <x v="3"/>
    <n v="4"/>
    <n v="145.05000000000001"/>
    <s v="626 Main St"/>
    <x v="1"/>
    <x v="3"/>
    <s v="TRK28779938"/>
    <n v="6"/>
    <x v="0"/>
    <x v="4"/>
    <n v="580.20000000000005"/>
    <n v="580.20000000000005"/>
  </r>
  <r>
    <x v="585"/>
    <x v="38"/>
    <x v="0"/>
    <s v="Q3"/>
    <s v="C91486"/>
    <x v="2"/>
    <n v="4"/>
    <n v="67.08"/>
    <s v="907 Main St"/>
    <x v="4"/>
    <x v="2"/>
    <s v="TRK79617136"/>
    <n v="8"/>
    <x v="3"/>
    <x v="4"/>
    <n v="268.32"/>
    <n v="268.32"/>
  </r>
  <r>
    <x v="586"/>
    <x v="337"/>
    <x v="1"/>
    <s v="Q4"/>
    <s v="C17389"/>
    <x v="0"/>
    <n v="1"/>
    <n v="522.08000000000004"/>
    <s v="905 Main St"/>
    <x v="3"/>
    <x v="2"/>
    <s v="TRK98857880"/>
    <n v="5"/>
    <x v="1"/>
    <x v="1"/>
    <n v="522.08000000000004"/>
    <n v="522.08000000000004"/>
  </r>
  <r>
    <x v="587"/>
    <x v="439"/>
    <x v="0"/>
    <s v="Q2"/>
    <s v="C18820"/>
    <x v="0"/>
    <n v="5"/>
    <n v="514.6"/>
    <s v="347 Main St"/>
    <x v="3"/>
    <x v="3"/>
    <s v="TRK91547425"/>
    <n v="10"/>
    <x v="1"/>
    <x v="0"/>
    <n v="2573"/>
    <n v="2573"/>
  </r>
  <r>
    <x v="588"/>
    <x v="440"/>
    <x v="1"/>
    <s v="Q4"/>
    <s v="C61849"/>
    <x v="0"/>
    <n v="4"/>
    <n v="577.82000000000005"/>
    <s v="811 Main St"/>
    <x v="2"/>
    <x v="3"/>
    <s v="TRK47613918"/>
    <n v="9"/>
    <x v="2"/>
    <x v="4"/>
    <n v="2311.2800000000002"/>
    <n v="2311.2800000000002"/>
  </r>
  <r>
    <x v="589"/>
    <x v="441"/>
    <x v="2"/>
    <s v="Q1"/>
    <s v="C84041"/>
    <x v="5"/>
    <n v="2"/>
    <n v="500.8"/>
    <s v="900 Main St"/>
    <x v="4"/>
    <x v="3"/>
    <s v="TRK84920444"/>
    <n v="3"/>
    <x v="1"/>
    <x v="1"/>
    <n v="1001.6"/>
    <n v="1001.6"/>
  </r>
  <r>
    <x v="590"/>
    <x v="442"/>
    <x v="0"/>
    <s v="Q3"/>
    <s v="C55757"/>
    <x v="4"/>
    <n v="2"/>
    <n v="461.13"/>
    <s v="175 Main St"/>
    <x v="3"/>
    <x v="2"/>
    <s v="TRK27356242"/>
    <n v="4"/>
    <x v="2"/>
    <x v="2"/>
    <n v="922.26"/>
    <n v="922.26"/>
  </r>
  <r>
    <x v="591"/>
    <x v="249"/>
    <x v="1"/>
    <s v="Q4"/>
    <s v="C18187"/>
    <x v="5"/>
    <n v="1"/>
    <n v="605.28"/>
    <s v="470 Main St"/>
    <x v="3"/>
    <x v="0"/>
    <s v="TRK50528185"/>
    <n v="3"/>
    <x v="1"/>
    <x v="1"/>
    <n v="605.28"/>
    <n v="605.28"/>
  </r>
  <r>
    <x v="592"/>
    <x v="234"/>
    <x v="1"/>
    <s v="Q2"/>
    <s v="C42306"/>
    <x v="1"/>
    <n v="3"/>
    <n v="204.27"/>
    <s v="938 Main St"/>
    <x v="1"/>
    <x v="2"/>
    <s v="TRK15499648"/>
    <n v="4"/>
    <x v="2"/>
    <x v="4"/>
    <n v="612.80999999999995"/>
    <n v="612.80999999999995"/>
  </r>
  <r>
    <x v="593"/>
    <x v="443"/>
    <x v="0"/>
    <s v="Q3"/>
    <s v="C51024"/>
    <x v="0"/>
    <n v="1"/>
    <n v="489.8"/>
    <s v="636 Main St"/>
    <x v="3"/>
    <x v="0"/>
    <s v="TRK31375086"/>
    <n v="4"/>
    <x v="1"/>
    <x v="3"/>
    <n v="489.8"/>
    <n v="489.8"/>
  </r>
  <r>
    <x v="594"/>
    <x v="444"/>
    <x v="1"/>
    <s v="Q1"/>
    <s v="C40140"/>
    <x v="1"/>
    <n v="5"/>
    <n v="72.64"/>
    <s v="598 Main St"/>
    <x v="2"/>
    <x v="1"/>
    <s v="TRK12671989"/>
    <n v="7"/>
    <x v="2"/>
    <x v="2"/>
    <n v="363.2"/>
    <n v="363.2"/>
  </r>
  <r>
    <x v="595"/>
    <x v="445"/>
    <x v="2"/>
    <s v="Q1"/>
    <s v="C72596"/>
    <x v="4"/>
    <n v="2"/>
    <n v="385.16"/>
    <s v="491 Main St"/>
    <x v="1"/>
    <x v="4"/>
    <s v="TRK83870446"/>
    <n v="7"/>
    <x v="0"/>
    <x v="2"/>
    <n v="770.32"/>
    <n v="770.32"/>
  </r>
  <r>
    <x v="596"/>
    <x v="439"/>
    <x v="0"/>
    <s v="Q2"/>
    <s v="C91805"/>
    <x v="6"/>
    <n v="3"/>
    <n v="606.41"/>
    <s v="653 Main St"/>
    <x v="0"/>
    <x v="2"/>
    <s v="TRK34504030"/>
    <n v="7"/>
    <x v="1"/>
    <x v="3"/>
    <n v="1819.23"/>
    <n v="1819.23"/>
  </r>
  <r>
    <x v="597"/>
    <x v="446"/>
    <x v="1"/>
    <s v="Q4"/>
    <s v="C40538"/>
    <x v="6"/>
    <n v="2"/>
    <n v="211.82"/>
    <s v="700 Main St"/>
    <x v="3"/>
    <x v="1"/>
    <s v="TRK29821356"/>
    <n v="4"/>
    <x v="3"/>
    <x v="2"/>
    <n v="423.64"/>
    <n v="423.64"/>
  </r>
  <r>
    <x v="598"/>
    <x v="447"/>
    <x v="1"/>
    <s v="Q2"/>
    <s v="C60329"/>
    <x v="6"/>
    <n v="5"/>
    <n v="495.35"/>
    <s v="826 Main St"/>
    <x v="2"/>
    <x v="4"/>
    <s v="TRK59069987"/>
    <n v="5"/>
    <x v="2"/>
    <x v="3"/>
    <n v="2476.75"/>
    <n v="2476.75"/>
  </r>
  <r>
    <x v="599"/>
    <x v="30"/>
    <x v="0"/>
    <s v="Q2"/>
    <s v="C28740"/>
    <x v="3"/>
    <n v="3"/>
    <n v="556.99"/>
    <s v="123 Main St"/>
    <x v="1"/>
    <x v="1"/>
    <s v="TRK33642221"/>
    <n v="4"/>
    <x v="1"/>
    <x v="3"/>
    <n v="1670.97"/>
    <n v="1670.97"/>
  </r>
  <r>
    <x v="600"/>
    <x v="68"/>
    <x v="0"/>
    <s v="Q2"/>
    <s v="C87051"/>
    <x v="4"/>
    <n v="1"/>
    <n v="72.31"/>
    <s v="460 Main St"/>
    <x v="3"/>
    <x v="1"/>
    <s v="TRK82056333"/>
    <n v="1"/>
    <x v="1"/>
    <x v="3"/>
    <n v="72.31"/>
    <n v="72.31"/>
  </r>
  <r>
    <x v="601"/>
    <x v="276"/>
    <x v="0"/>
    <s v="Q4"/>
    <s v="C12479"/>
    <x v="0"/>
    <n v="5"/>
    <n v="24.82"/>
    <s v="529 Main St"/>
    <x v="2"/>
    <x v="0"/>
    <s v="TRK73935314"/>
    <n v="10"/>
    <x v="2"/>
    <x v="1"/>
    <n v="124.1"/>
    <n v="124.1"/>
  </r>
  <r>
    <x v="602"/>
    <x v="448"/>
    <x v="1"/>
    <s v="Q1"/>
    <s v="C35852"/>
    <x v="2"/>
    <n v="4"/>
    <n v="26.04"/>
    <s v="982 Main St"/>
    <x v="1"/>
    <x v="4"/>
    <s v="TRK64660134"/>
    <n v="5"/>
    <x v="0"/>
    <x v="0"/>
    <n v="104.16"/>
    <n v="104.16"/>
  </r>
  <r>
    <x v="603"/>
    <x v="449"/>
    <x v="1"/>
    <s v="Q4"/>
    <s v="C26223"/>
    <x v="2"/>
    <n v="1"/>
    <n v="657.07"/>
    <s v="800 Main St"/>
    <x v="4"/>
    <x v="4"/>
    <s v="TRK50900547"/>
    <n v="4"/>
    <x v="0"/>
    <x v="4"/>
    <n v="657.07"/>
    <n v="657.07"/>
  </r>
  <r>
    <x v="604"/>
    <x v="450"/>
    <x v="2"/>
    <s v="Q2"/>
    <s v="C99214"/>
    <x v="3"/>
    <n v="3"/>
    <n v="32.619999999999997"/>
    <s v="252 Main St"/>
    <x v="0"/>
    <x v="3"/>
    <s v="TRK81368481"/>
    <n v="6"/>
    <x v="2"/>
    <x v="3"/>
    <n v="97.86"/>
    <n v="97.86"/>
  </r>
  <r>
    <x v="605"/>
    <x v="451"/>
    <x v="1"/>
    <s v="Q2"/>
    <s v="C49605"/>
    <x v="0"/>
    <n v="2"/>
    <n v="228.91"/>
    <s v="892 Main St"/>
    <x v="0"/>
    <x v="0"/>
    <s v="TRK95620066"/>
    <n v="4"/>
    <x v="0"/>
    <x v="1"/>
    <n v="457.82"/>
    <n v="457.82"/>
  </r>
  <r>
    <x v="606"/>
    <x v="119"/>
    <x v="1"/>
    <s v="Q4"/>
    <s v="C85018"/>
    <x v="5"/>
    <n v="3"/>
    <n v="274.75"/>
    <s v="783 Main St"/>
    <x v="4"/>
    <x v="1"/>
    <s v="TRK54128886"/>
    <n v="3"/>
    <x v="0"/>
    <x v="4"/>
    <n v="824.25"/>
    <n v="824.25"/>
  </r>
  <r>
    <x v="607"/>
    <x v="133"/>
    <x v="2"/>
    <s v="Q2"/>
    <s v="C96434"/>
    <x v="4"/>
    <n v="4"/>
    <n v="634.04999999999995"/>
    <s v="282 Main St"/>
    <x v="4"/>
    <x v="0"/>
    <s v="TRK56730647"/>
    <n v="6"/>
    <x v="0"/>
    <x v="4"/>
    <n v="2536.1999999999998"/>
    <n v="2536.1999999999998"/>
  </r>
  <r>
    <x v="608"/>
    <x v="25"/>
    <x v="1"/>
    <s v="Q3"/>
    <s v="C32956"/>
    <x v="5"/>
    <n v="5"/>
    <n v="543.16"/>
    <s v="788 Main St"/>
    <x v="1"/>
    <x v="1"/>
    <s v="TRK73140103"/>
    <n v="6"/>
    <x v="0"/>
    <x v="0"/>
    <n v="2715.8"/>
    <n v="2715.8"/>
  </r>
  <r>
    <x v="609"/>
    <x v="109"/>
    <x v="2"/>
    <s v="Q1"/>
    <s v="C41137"/>
    <x v="3"/>
    <n v="3"/>
    <n v="449.13"/>
    <s v="809 Main St"/>
    <x v="4"/>
    <x v="2"/>
    <s v="TRK52732162"/>
    <n v="5"/>
    <x v="3"/>
    <x v="1"/>
    <n v="1347.39"/>
    <n v="1347.39"/>
  </r>
  <r>
    <x v="610"/>
    <x v="452"/>
    <x v="1"/>
    <s v="Q2"/>
    <s v="C60361"/>
    <x v="6"/>
    <n v="5"/>
    <n v="389.62"/>
    <s v="623 Main St"/>
    <x v="4"/>
    <x v="2"/>
    <s v="TRK83566924"/>
    <n v="7"/>
    <x v="1"/>
    <x v="3"/>
    <n v="1948.1"/>
    <n v="1948.1"/>
  </r>
  <r>
    <x v="611"/>
    <x v="453"/>
    <x v="0"/>
    <s v="Q2"/>
    <s v="C36688"/>
    <x v="6"/>
    <n v="1"/>
    <n v="305.17"/>
    <s v="700 Main St"/>
    <x v="3"/>
    <x v="2"/>
    <s v="TRK35720426"/>
    <n v="3"/>
    <x v="3"/>
    <x v="1"/>
    <n v="305.17"/>
    <n v="305.17"/>
  </r>
  <r>
    <x v="612"/>
    <x v="454"/>
    <x v="0"/>
    <s v="Q2"/>
    <s v="C51811"/>
    <x v="3"/>
    <n v="3"/>
    <n v="445.12"/>
    <s v="339 Main St"/>
    <x v="3"/>
    <x v="1"/>
    <s v="TRK82377939"/>
    <n v="8"/>
    <x v="2"/>
    <x v="4"/>
    <n v="1335.36"/>
    <n v="1335.36"/>
  </r>
  <r>
    <x v="613"/>
    <x v="36"/>
    <x v="1"/>
    <s v="Q4"/>
    <s v="C62405"/>
    <x v="5"/>
    <n v="2"/>
    <n v="230.36"/>
    <s v="154 Main St"/>
    <x v="1"/>
    <x v="2"/>
    <s v="TRK14721763"/>
    <n v="4"/>
    <x v="3"/>
    <x v="2"/>
    <n v="460.72"/>
    <n v="460.72"/>
  </r>
  <r>
    <x v="614"/>
    <x v="455"/>
    <x v="1"/>
    <s v="Q1"/>
    <s v="C77363"/>
    <x v="1"/>
    <n v="1"/>
    <n v="96.81"/>
    <s v="807 Main St"/>
    <x v="3"/>
    <x v="1"/>
    <s v="TRK12439827"/>
    <n v="3"/>
    <x v="2"/>
    <x v="1"/>
    <n v="96.81"/>
    <n v="96.81"/>
  </r>
  <r>
    <x v="615"/>
    <x v="456"/>
    <x v="2"/>
    <s v="Q1"/>
    <s v="C97218"/>
    <x v="0"/>
    <n v="5"/>
    <n v="460.14"/>
    <s v="252 Main St"/>
    <x v="2"/>
    <x v="2"/>
    <s v="TRK52632065"/>
    <n v="10"/>
    <x v="3"/>
    <x v="3"/>
    <n v="2300.6999999999998"/>
    <n v="2300.6999999999998"/>
  </r>
  <r>
    <x v="616"/>
    <x v="457"/>
    <x v="1"/>
    <s v="Q4"/>
    <s v="C43919"/>
    <x v="2"/>
    <n v="3"/>
    <n v="601.6"/>
    <s v="984 Main St"/>
    <x v="2"/>
    <x v="1"/>
    <s v="TRK73113192"/>
    <n v="7"/>
    <x v="0"/>
    <x v="3"/>
    <n v="1804.8"/>
    <n v="1804.8"/>
  </r>
  <r>
    <x v="617"/>
    <x v="458"/>
    <x v="1"/>
    <s v="Q1"/>
    <s v="C57093"/>
    <x v="2"/>
    <n v="3"/>
    <n v="184.47"/>
    <s v="834 Main St"/>
    <x v="1"/>
    <x v="1"/>
    <s v="TRK75469057"/>
    <n v="4"/>
    <x v="2"/>
    <x v="1"/>
    <n v="553.41"/>
    <n v="553.41"/>
  </r>
  <r>
    <x v="618"/>
    <x v="459"/>
    <x v="1"/>
    <s v="Q3"/>
    <s v="C50565"/>
    <x v="2"/>
    <n v="1"/>
    <n v="411.34"/>
    <s v="399 Main St"/>
    <x v="0"/>
    <x v="2"/>
    <s v="TRK97981418"/>
    <n v="5"/>
    <x v="2"/>
    <x v="0"/>
    <n v="411.34"/>
    <n v="411.34"/>
  </r>
  <r>
    <x v="619"/>
    <x v="424"/>
    <x v="1"/>
    <s v="Q3"/>
    <s v="C38845"/>
    <x v="5"/>
    <n v="1"/>
    <n v="532.89"/>
    <s v="764 Main St"/>
    <x v="3"/>
    <x v="4"/>
    <s v="TRK47637374"/>
    <n v="2"/>
    <x v="2"/>
    <x v="1"/>
    <n v="532.89"/>
    <n v="532.89"/>
  </r>
  <r>
    <x v="620"/>
    <x v="460"/>
    <x v="1"/>
    <s v="Q1"/>
    <s v="C84834"/>
    <x v="2"/>
    <n v="3"/>
    <n v="136.34"/>
    <s v="866 Main St"/>
    <x v="0"/>
    <x v="2"/>
    <s v="TRK90136001"/>
    <n v="8"/>
    <x v="0"/>
    <x v="1"/>
    <n v="409.02"/>
    <n v="409.02"/>
  </r>
  <r>
    <x v="621"/>
    <x v="356"/>
    <x v="0"/>
    <s v="Q4"/>
    <s v="C37455"/>
    <x v="1"/>
    <n v="5"/>
    <n v="476.01"/>
    <s v="146 Main St"/>
    <x v="2"/>
    <x v="3"/>
    <s v="TRK82685594"/>
    <n v="7"/>
    <x v="3"/>
    <x v="4"/>
    <n v="2380.0500000000002"/>
    <n v="2380.0500000000002"/>
  </r>
  <r>
    <x v="622"/>
    <x v="461"/>
    <x v="1"/>
    <s v="Q4"/>
    <s v="C27078"/>
    <x v="6"/>
    <n v="5"/>
    <n v="236.38"/>
    <s v="128 Main St"/>
    <x v="2"/>
    <x v="2"/>
    <s v="TRK89314307"/>
    <n v="7"/>
    <x v="2"/>
    <x v="3"/>
    <n v="1181.9000000000001"/>
    <n v="1181.9000000000001"/>
  </r>
  <r>
    <x v="623"/>
    <x v="379"/>
    <x v="0"/>
    <s v="Q2"/>
    <s v="C91941"/>
    <x v="4"/>
    <n v="3"/>
    <n v="396"/>
    <s v="269 Main St"/>
    <x v="3"/>
    <x v="1"/>
    <s v="TRK21330732"/>
    <n v="4"/>
    <x v="1"/>
    <x v="0"/>
    <n v="1188"/>
    <n v="1188"/>
  </r>
  <r>
    <x v="624"/>
    <x v="462"/>
    <x v="1"/>
    <s v="Q1"/>
    <s v="C25967"/>
    <x v="2"/>
    <n v="5"/>
    <n v="341.96"/>
    <s v="747 Main St"/>
    <x v="0"/>
    <x v="3"/>
    <s v="TRK88559278"/>
    <n v="6"/>
    <x v="2"/>
    <x v="2"/>
    <n v="1709.8"/>
    <n v="1709.8"/>
  </r>
  <r>
    <x v="625"/>
    <x v="463"/>
    <x v="0"/>
    <s v="Q3"/>
    <s v="C22123"/>
    <x v="2"/>
    <n v="1"/>
    <n v="672.89"/>
    <s v="519 Main St"/>
    <x v="2"/>
    <x v="4"/>
    <s v="TRK43250279"/>
    <n v="1"/>
    <x v="3"/>
    <x v="2"/>
    <n v="672.89"/>
    <n v="672.89"/>
  </r>
  <r>
    <x v="626"/>
    <x v="417"/>
    <x v="1"/>
    <s v="Q1"/>
    <s v="C45671"/>
    <x v="2"/>
    <n v="2"/>
    <n v="657.48"/>
    <s v="769 Main St"/>
    <x v="1"/>
    <x v="0"/>
    <s v="TRK18179773"/>
    <n v="5"/>
    <x v="0"/>
    <x v="1"/>
    <n v="1314.96"/>
    <n v="1314.96"/>
  </r>
  <r>
    <x v="627"/>
    <x v="464"/>
    <x v="0"/>
    <s v="Q3"/>
    <s v="C53334"/>
    <x v="3"/>
    <n v="3"/>
    <n v="498.68"/>
    <s v="879 Main St"/>
    <x v="1"/>
    <x v="2"/>
    <s v="TRK31724421"/>
    <n v="4"/>
    <x v="1"/>
    <x v="2"/>
    <n v="1496.04"/>
    <n v="1496.04"/>
  </r>
  <r>
    <x v="628"/>
    <x v="465"/>
    <x v="0"/>
    <s v="Q1"/>
    <s v="C18717"/>
    <x v="4"/>
    <n v="5"/>
    <n v="558.63"/>
    <s v="861 Main St"/>
    <x v="4"/>
    <x v="4"/>
    <s v="TRK58568806"/>
    <n v="8"/>
    <x v="1"/>
    <x v="1"/>
    <n v="2793.15"/>
    <n v="2793.15"/>
  </r>
  <r>
    <x v="629"/>
    <x v="466"/>
    <x v="0"/>
    <s v="Q3"/>
    <s v="C50137"/>
    <x v="1"/>
    <n v="3"/>
    <n v="19.73"/>
    <s v="840 Main St"/>
    <x v="1"/>
    <x v="4"/>
    <s v="TRK91836131"/>
    <n v="3"/>
    <x v="2"/>
    <x v="1"/>
    <n v="59.19"/>
    <n v="59.19"/>
  </r>
  <r>
    <x v="630"/>
    <x v="467"/>
    <x v="0"/>
    <s v="Q2"/>
    <s v="C51481"/>
    <x v="0"/>
    <n v="5"/>
    <n v="248.84"/>
    <s v="140 Main St"/>
    <x v="0"/>
    <x v="1"/>
    <s v="TRK33437701"/>
    <n v="10"/>
    <x v="2"/>
    <x v="0"/>
    <n v="1244.2"/>
    <n v="1244.2"/>
  </r>
  <r>
    <x v="631"/>
    <x v="169"/>
    <x v="1"/>
    <s v="Q3"/>
    <s v="C99128"/>
    <x v="3"/>
    <n v="3"/>
    <n v="46.11"/>
    <s v="360 Main St"/>
    <x v="3"/>
    <x v="2"/>
    <s v="TRK32426808"/>
    <n v="5"/>
    <x v="3"/>
    <x v="1"/>
    <n v="138.33000000000001"/>
    <n v="138.33000000000001"/>
  </r>
  <r>
    <x v="632"/>
    <x v="468"/>
    <x v="0"/>
    <s v="Q2"/>
    <s v="C67260"/>
    <x v="5"/>
    <n v="5"/>
    <n v="678.16"/>
    <s v="463 Main St"/>
    <x v="3"/>
    <x v="3"/>
    <s v="TRK38229104"/>
    <n v="7"/>
    <x v="3"/>
    <x v="3"/>
    <n v="3390.8"/>
    <n v="3390.8"/>
  </r>
  <r>
    <x v="633"/>
    <x v="294"/>
    <x v="1"/>
    <s v="Q2"/>
    <s v="C79533"/>
    <x v="5"/>
    <n v="5"/>
    <n v="601.72"/>
    <s v="921 Main St"/>
    <x v="3"/>
    <x v="1"/>
    <s v="TRK54711422"/>
    <n v="5"/>
    <x v="3"/>
    <x v="0"/>
    <n v="3008.6"/>
    <n v="3008.6"/>
  </r>
  <r>
    <x v="634"/>
    <x v="313"/>
    <x v="1"/>
    <s v="Q2"/>
    <s v="C66906"/>
    <x v="4"/>
    <n v="2"/>
    <n v="259.32"/>
    <s v="117 Main St"/>
    <x v="3"/>
    <x v="3"/>
    <s v="TRK31633755"/>
    <n v="2"/>
    <x v="3"/>
    <x v="1"/>
    <n v="518.64"/>
    <n v="518.64"/>
  </r>
  <r>
    <x v="635"/>
    <x v="141"/>
    <x v="0"/>
    <s v="Q4"/>
    <s v="C12818"/>
    <x v="3"/>
    <n v="3"/>
    <n v="63.68"/>
    <s v="434 Main St"/>
    <x v="4"/>
    <x v="2"/>
    <s v="TRK40879983"/>
    <n v="6"/>
    <x v="2"/>
    <x v="3"/>
    <n v="191.04"/>
    <n v="191.04"/>
  </r>
  <r>
    <x v="636"/>
    <x v="469"/>
    <x v="0"/>
    <s v="Q4"/>
    <s v="C60384"/>
    <x v="5"/>
    <n v="4"/>
    <n v="371.07"/>
    <s v="336 Main St"/>
    <x v="4"/>
    <x v="1"/>
    <s v="TRK92080037"/>
    <n v="7"/>
    <x v="3"/>
    <x v="3"/>
    <n v="1484.28"/>
    <n v="1484.28"/>
  </r>
  <r>
    <x v="637"/>
    <x v="470"/>
    <x v="1"/>
    <s v="Q3"/>
    <s v="C92294"/>
    <x v="3"/>
    <n v="4"/>
    <n v="306.35000000000002"/>
    <s v="784 Main St"/>
    <x v="3"/>
    <x v="0"/>
    <s v="TRK23585765"/>
    <n v="7"/>
    <x v="3"/>
    <x v="1"/>
    <n v="1225.4000000000001"/>
    <n v="1225.4000000000001"/>
  </r>
  <r>
    <x v="638"/>
    <x v="3"/>
    <x v="0"/>
    <s v="Q4"/>
    <s v="C66840"/>
    <x v="2"/>
    <n v="4"/>
    <n v="578.27"/>
    <s v="547 Main St"/>
    <x v="1"/>
    <x v="3"/>
    <s v="TRK76929637"/>
    <n v="9"/>
    <x v="3"/>
    <x v="2"/>
    <n v="2313.08"/>
    <n v="2313.08"/>
  </r>
  <r>
    <x v="639"/>
    <x v="325"/>
    <x v="0"/>
    <s v="Q1"/>
    <s v="C22534"/>
    <x v="3"/>
    <n v="1"/>
    <n v="529.19000000000005"/>
    <s v="391 Main St"/>
    <x v="4"/>
    <x v="1"/>
    <s v="TRK17415798"/>
    <n v="5"/>
    <x v="2"/>
    <x v="1"/>
    <n v="529.19000000000005"/>
    <n v="529.19000000000005"/>
  </r>
  <r>
    <x v="640"/>
    <x v="2"/>
    <x v="1"/>
    <s v="Q1"/>
    <s v="C46509"/>
    <x v="3"/>
    <n v="2"/>
    <n v="587.49"/>
    <s v="647 Main St"/>
    <x v="3"/>
    <x v="2"/>
    <s v="TRK24241664"/>
    <n v="6"/>
    <x v="0"/>
    <x v="1"/>
    <n v="1174.98"/>
    <n v="1174.98"/>
  </r>
  <r>
    <x v="641"/>
    <x v="471"/>
    <x v="1"/>
    <s v="Q2"/>
    <s v="C71680"/>
    <x v="4"/>
    <n v="4"/>
    <n v="567.57000000000005"/>
    <s v="814 Main St"/>
    <x v="0"/>
    <x v="4"/>
    <s v="TRK47386650"/>
    <n v="9"/>
    <x v="3"/>
    <x v="4"/>
    <n v="2270.2800000000002"/>
    <n v="2270.2800000000002"/>
  </r>
  <r>
    <x v="642"/>
    <x v="472"/>
    <x v="1"/>
    <s v="Q2"/>
    <s v="C15063"/>
    <x v="3"/>
    <n v="5"/>
    <n v="85.22"/>
    <s v="527 Main St"/>
    <x v="2"/>
    <x v="1"/>
    <s v="TRK10329390"/>
    <n v="7"/>
    <x v="1"/>
    <x v="2"/>
    <n v="426.1"/>
    <n v="426.1"/>
  </r>
  <r>
    <x v="643"/>
    <x v="360"/>
    <x v="1"/>
    <s v="Q3"/>
    <s v="C77122"/>
    <x v="5"/>
    <n v="1"/>
    <n v="438.37"/>
    <s v="647 Main St"/>
    <x v="4"/>
    <x v="1"/>
    <s v="TRK75814880"/>
    <n v="4"/>
    <x v="0"/>
    <x v="1"/>
    <n v="438.37"/>
    <n v="438.37"/>
  </r>
  <r>
    <x v="644"/>
    <x v="375"/>
    <x v="0"/>
    <s v="Q4"/>
    <s v="C86524"/>
    <x v="3"/>
    <n v="2"/>
    <n v="366.23"/>
    <s v="961 Main St"/>
    <x v="4"/>
    <x v="0"/>
    <s v="TRK62490506"/>
    <n v="2"/>
    <x v="3"/>
    <x v="2"/>
    <n v="732.46"/>
    <n v="732.46"/>
  </r>
  <r>
    <x v="645"/>
    <x v="315"/>
    <x v="0"/>
    <s v="Q1"/>
    <s v="C82990"/>
    <x v="5"/>
    <n v="2"/>
    <n v="150.05000000000001"/>
    <s v="727 Main St"/>
    <x v="2"/>
    <x v="1"/>
    <s v="TRK68574801"/>
    <n v="4"/>
    <x v="0"/>
    <x v="3"/>
    <n v="300.10000000000002"/>
    <n v="300.10000000000002"/>
  </r>
  <r>
    <x v="646"/>
    <x v="122"/>
    <x v="0"/>
    <s v="Q4"/>
    <s v="C98761"/>
    <x v="3"/>
    <n v="4"/>
    <n v="498.51"/>
    <s v="804 Main St"/>
    <x v="0"/>
    <x v="0"/>
    <s v="TRK43262630"/>
    <n v="4"/>
    <x v="0"/>
    <x v="4"/>
    <n v="1994.04"/>
    <n v="1994.04"/>
  </r>
  <r>
    <x v="647"/>
    <x v="473"/>
    <x v="2"/>
    <s v="Q2"/>
    <s v="C54409"/>
    <x v="6"/>
    <n v="3"/>
    <n v="339.39"/>
    <s v="667 Main St"/>
    <x v="4"/>
    <x v="2"/>
    <s v="TRK67671316"/>
    <n v="7"/>
    <x v="1"/>
    <x v="4"/>
    <n v="1018.17"/>
    <n v="1018.17"/>
  </r>
  <r>
    <x v="648"/>
    <x v="474"/>
    <x v="2"/>
    <s v="Q1"/>
    <s v="C89674"/>
    <x v="0"/>
    <n v="2"/>
    <n v="575.83000000000004"/>
    <s v="182 Main St"/>
    <x v="1"/>
    <x v="3"/>
    <s v="TRK45902512"/>
    <n v="3"/>
    <x v="3"/>
    <x v="1"/>
    <n v="1151.6600000000001"/>
    <n v="1151.6600000000001"/>
  </r>
  <r>
    <x v="649"/>
    <x v="475"/>
    <x v="0"/>
    <s v="Q4"/>
    <s v="C45899"/>
    <x v="0"/>
    <n v="2"/>
    <n v="642.98"/>
    <s v="153 Main St"/>
    <x v="0"/>
    <x v="2"/>
    <s v="TRK32932093"/>
    <n v="7"/>
    <x v="1"/>
    <x v="2"/>
    <n v="1285.96"/>
    <n v="1285.96"/>
  </r>
  <r>
    <x v="650"/>
    <x v="419"/>
    <x v="0"/>
    <s v="Q2"/>
    <s v="C74499"/>
    <x v="6"/>
    <n v="2"/>
    <n v="372.23"/>
    <s v="518 Main St"/>
    <x v="3"/>
    <x v="3"/>
    <s v="TRK93767278"/>
    <n v="7"/>
    <x v="0"/>
    <x v="2"/>
    <n v="744.46"/>
    <n v="744.46"/>
  </r>
  <r>
    <x v="651"/>
    <x v="476"/>
    <x v="1"/>
    <s v="Q4"/>
    <s v="C81192"/>
    <x v="3"/>
    <n v="3"/>
    <n v="646.34"/>
    <s v="429 Main St"/>
    <x v="0"/>
    <x v="4"/>
    <s v="TRK76931118"/>
    <n v="5"/>
    <x v="2"/>
    <x v="4"/>
    <n v="1939.02"/>
    <n v="1939.02"/>
  </r>
  <r>
    <x v="652"/>
    <x v="477"/>
    <x v="1"/>
    <s v="Q2"/>
    <s v="C71473"/>
    <x v="3"/>
    <n v="5"/>
    <n v="341.84"/>
    <s v="328 Main St"/>
    <x v="1"/>
    <x v="0"/>
    <s v="TRK94857335"/>
    <n v="8"/>
    <x v="1"/>
    <x v="0"/>
    <n v="1709.2"/>
    <n v="1709.2"/>
  </r>
  <r>
    <x v="653"/>
    <x v="402"/>
    <x v="1"/>
    <s v="Q1"/>
    <s v="C59338"/>
    <x v="4"/>
    <n v="3"/>
    <n v="690.3"/>
    <s v="747 Main St"/>
    <x v="2"/>
    <x v="0"/>
    <s v="TRK12902764"/>
    <n v="6"/>
    <x v="3"/>
    <x v="4"/>
    <n v="2070.9"/>
    <n v="2070.9"/>
  </r>
  <r>
    <x v="654"/>
    <x v="439"/>
    <x v="0"/>
    <s v="Q2"/>
    <s v="C62661"/>
    <x v="2"/>
    <n v="3"/>
    <n v="382.37"/>
    <s v="863 Main St"/>
    <x v="0"/>
    <x v="2"/>
    <s v="TRK25748100"/>
    <n v="8"/>
    <x v="2"/>
    <x v="0"/>
    <n v="1147.1099999999999"/>
    <n v="1147.1099999999999"/>
  </r>
  <r>
    <x v="655"/>
    <x v="369"/>
    <x v="0"/>
    <s v="Q1"/>
    <s v="C22101"/>
    <x v="3"/>
    <n v="2"/>
    <n v="132.6"/>
    <s v="262 Main St"/>
    <x v="0"/>
    <x v="1"/>
    <s v="TRK70711522"/>
    <n v="4"/>
    <x v="3"/>
    <x v="2"/>
    <n v="265.2"/>
    <n v="265.2"/>
  </r>
  <r>
    <x v="656"/>
    <x v="343"/>
    <x v="1"/>
    <s v="Q1"/>
    <s v="C51404"/>
    <x v="0"/>
    <n v="2"/>
    <n v="189.06"/>
    <s v="835 Main St"/>
    <x v="3"/>
    <x v="0"/>
    <s v="TRK85682500"/>
    <n v="7"/>
    <x v="0"/>
    <x v="3"/>
    <n v="378.12"/>
    <n v="378.12"/>
  </r>
  <r>
    <x v="657"/>
    <x v="478"/>
    <x v="0"/>
    <s v="Q4"/>
    <s v="C19384"/>
    <x v="2"/>
    <n v="4"/>
    <n v="87.79"/>
    <s v="532 Main St"/>
    <x v="4"/>
    <x v="1"/>
    <s v="TRK33207064"/>
    <n v="6"/>
    <x v="1"/>
    <x v="0"/>
    <n v="351.16"/>
    <n v="351.16"/>
  </r>
  <r>
    <x v="658"/>
    <x v="479"/>
    <x v="2"/>
    <s v="Q2"/>
    <s v="C86864"/>
    <x v="4"/>
    <n v="2"/>
    <n v="46.36"/>
    <s v="670 Main St"/>
    <x v="3"/>
    <x v="2"/>
    <s v="TRK15323191"/>
    <n v="4"/>
    <x v="0"/>
    <x v="4"/>
    <n v="92.72"/>
    <n v="92.72"/>
  </r>
  <r>
    <x v="659"/>
    <x v="480"/>
    <x v="1"/>
    <s v="Q4"/>
    <s v="C24301"/>
    <x v="1"/>
    <n v="2"/>
    <n v="642.04"/>
    <s v="964 Main St"/>
    <x v="3"/>
    <x v="3"/>
    <s v="TRK55000075"/>
    <n v="4"/>
    <x v="3"/>
    <x v="2"/>
    <n v="1284.08"/>
    <n v="1284.08"/>
  </r>
  <r>
    <x v="660"/>
    <x v="481"/>
    <x v="1"/>
    <s v="Q4"/>
    <s v="C43842"/>
    <x v="3"/>
    <n v="2"/>
    <n v="651.57000000000005"/>
    <s v="933 Main St"/>
    <x v="0"/>
    <x v="0"/>
    <s v="TRK54084424"/>
    <n v="7"/>
    <x v="3"/>
    <x v="3"/>
    <n v="1303.1400000000001"/>
    <n v="1303.1400000000001"/>
  </r>
  <r>
    <x v="661"/>
    <x v="252"/>
    <x v="2"/>
    <s v="Q1"/>
    <s v="C63657"/>
    <x v="2"/>
    <n v="3"/>
    <n v="424.89"/>
    <s v="116 Main St"/>
    <x v="0"/>
    <x v="1"/>
    <s v="TRK86378984"/>
    <n v="6"/>
    <x v="1"/>
    <x v="4"/>
    <n v="1274.67"/>
    <n v="1274.67"/>
  </r>
  <r>
    <x v="662"/>
    <x v="423"/>
    <x v="0"/>
    <s v="Q1"/>
    <s v="C98332"/>
    <x v="5"/>
    <n v="3"/>
    <n v="438.89"/>
    <s v="985 Main St"/>
    <x v="4"/>
    <x v="2"/>
    <s v="TRK85744797"/>
    <n v="3"/>
    <x v="2"/>
    <x v="3"/>
    <n v="1316.67"/>
    <n v="1316.67"/>
  </r>
  <r>
    <x v="663"/>
    <x v="116"/>
    <x v="1"/>
    <s v="Q2"/>
    <s v="C59774"/>
    <x v="0"/>
    <n v="1"/>
    <n v="72.599999999999994"/>
    <s v="941 Main St"/>
    <x v="0"/>
    <x v="1"/>
    <s v="TRK87635135"/>
    <n v="6"/>
    <x v="1"/>
    <x v="0"/>
    <n v="72.599999999999994"/>
    <n v="72.599999999999994"/>
  </r>
  <r>
    <x v="664"/>
    <x v="36"/>
    <x v="1"/>
    <s v="Q4"/>
    <s v="C14847"/>
    <x v="5"/>
    <n v="4"/>
    <n v="194.75"/>
    <s v="188 Main St"/>
    <x v="4"/>
    <x v="0"/>
    <s v="TRK46492755"/>
    <n v="5"/>
    <x v="2"/>
    <x v="3"/>
    <n v="779"/>
    <n v="779"/>
  </r>
  <r>
    <x v="665"/>
    <x v="468"/>
    <x v="0"/>
    <s v="Q2"/>
    <s v="C83653"/>
    <x v="2"/>
    <n v="4"/>
    <n v="231.26"/>
    <s v="253 Main St"/>
    <x v="1"/>
    <x v="0"/>
    <s v="TRK32619935"/>
    <n v="6"/>
    <x v="3"/>
    <x v="4"/>
    <n v="925.04"/>
    <n v="925.04"/>
  </r>
  <r>
    <x v="666"/>
    <x v="169"/>
    <x v="1"/>
    <s v="Q3"/>
    <s v="C35711"/>
    <x v="0"/>
    <n v="4"/>
    <n v="327.12"/>
    <s v="788 Main St"/>
    <x v="2"/>
    <x v="1"/>
    <s v="TRK45281495"/>
    <n v="4"/>
    <x v="2"/>
    <x v="2"/>
    <n v="1308.48"/>
    <n v="1308.48"/>
  </r>
  <r>
    <x v="667"/>
    <x v="71"/>
    <x v="0"/>
    <s v="Q2"/>
    <s v="C10477"/>
    <x v="5"/>
    <n v="1"/>
    <n v="466.42"/>
    <s v="172 Main St"/>
    <x v="3"/>
    <x v="4"/>
    <s v="TRK41505339"/>
    <n v="5"/>
    <x v="0"/>
    <x v="2"/>
    <n v="466.42"/>
    <n v="466.42"/>
  </r>
  <r>
    <x v="668"/>
    <x v="482"/>
    <x v="1"/>
    <s v="Q3"/>
    <s v="C61257"/>
    <x v="0"/>
    <n v="2"/>
    <n v="253.67"/>
    <s v="981 Main St"/>
    <x v="4"/>
    <x v="2"/>
    <s v="TRK25226070"/>
    <n v="3"/>
    <x v="3"/>
    <x v="3"/>
    <n v="507.34"/>
    <n v="507.34"/>
  </r>
  <r>
    <x v="669"/>
    <x v="483"/>
    <x v="0"/>
    <s v="Q1"/>
    <s v="C60547"/>
    <x v="6"/>
    <n v="1"/>
    <n v="257"/>
    <s v="812 Main St"/>
    <x v="0"/>
    <x v="1"/>
    <s v="TRK65694249"/>
    <n v="5"/>
    <x v="2"/>
    <x v="1"/>
    <n v="257"/>
    <n v="257"/>
  </r>
  <r>
    <x v="670"/>
    <x v="171"/>
    <x v="1"/>
    <s v="Q2"/>
    <s v="C14576"/>
    <x v="6"/>
    <n v="4"/>
    <n v="539.20000000000005"/>
    <s v="747 Main St"/>
    <x v="2"/>
    <x v="4"/>
    <s v="TRK21637540"/>
    <n v="8"/>
    <x v="1"/>
    <x v="4"/>
    <n v="2156.8000000000002"/>
    <n v="2156.8000000000002"/>
  </r>
  <r>
    <x v="671"/>
    <x v="484"/>
    <x v="0"/>
    <s v="Q2"/>
    <s v="C49282"/>
    <x v="3"/>
    <n v="5"/>
    <n v="50.74"/>
    <s v="737 Main St"/>
    <x v="3"/>
    <x v="1"/>
    <s v="TRK88653901"/>
    <n v="7"/>
    <x v="3"/>
    <x v="4"/>
    <n v="253.7"/>
    <n v="253.7"/>
  </r>
  <r>
    <x v="672"/>
    <x v="221"/>
    <x v="0"/>
    <s v="Q2"/>
    <s v="C14017"/>
    <x v="1"/>
    <n v="2"/>
    <n v="624.16"/>
    <s v="984 Main St"/>
    <x v="0"/>
    <x v="0"/>
    <s v="TRK71009446"/>
    <n v="2"/>
    <x v="0"/>
    <x v="0"/>
    <n v="1248.32"/>
    <n v="1248.32"/>
  </r>
  <r>
    <x v="673"/>
    <x v="485"/>
    <x v="0"/>
    <s v="Q1"/>
    <s v="C46504"/>
    <x v="2"/>
    <n v="2"/>
    <n v="372.92"/>
    <s v="131 Main St"/>
    <x v="2"/>
    <x v="3"/>
    <s v="TRK95024356"/>
    <n v="7"/>
    <x v="0"/>
    <x v="2"/>
    <n v="745.84"/>
    <n v="745.84"/>
  </r>
  <r>
    <x v="674"/>
    <x v="486"/>
    <x v="1"/>
    <s v="Q1"/>
    <s v="C56928"/>
    <x v="5"/>
    <n v="4"/>
    <n v="358.75"/>
    <s v="860 Main St"/>
    <x v="3"/>
    <x v="3"/>
    <s v="TRK57792939"/>
    <n v="9"/>
    <x v="0"/>
    <x v="3"/>
    <n v="1435"/>
    <n v="1435"/>
  </r>
  <r>
    <x v="675"/>
    <x v="76"/>
    <x v="1"/>
    <s v="Q3"/>
    <s v="C97749"/>
    <x v="6"/>
    <n v="3"/>
    <n v="342.02"/>
    <s v="906 Main St"/>
    <x v="0"/>
    <x v="4"/>
    <s v="TRK90233116"/>
    <n v="5"/>
    <x v="2"/>
    <x v="2"/>
    <n v="1026.06"/>
    <n v="1026.06"/>
  </r>
  <r>
    <x v="676"/>
    <x v="127"/>
    <x v="2"/>
    <s v="Q2"/>
    <s v="C90431"/>
    <x v="5"/>
    <n v="2"/>
    <n v="422.34"/>
    <s v="985 Main St"/>
    <x v="2"/>
    <x v="1"/>
    <s v="TRK44151723"/>
    <n v="4"/>
    <x v="1"/>
    <x v="0"/>
    <n v="844.68"/>
    <n v="844.68"/>
  </r>
  <r>
    <x v="677"/>
    <x v="487"/>
    <x v="2"/>
    <s v="Q2"/>
    <s v="C56722"/>
    <x v="2"/>
    <n v="5"/>
    <n v="22.07"/>
    <s v="179 Main St"/>
    <x v="1"/>
    <x v="1"/>
    <s v="TRK78778569"/>
    <n v="7"/>
    <x v="1"/>
    <x v="0"/>
    <n v="110.35"/>
    <n v="110.35"/>
  </r>
  <r>
    <x v="678"/>
    <x v="167"/>
    <x v="1"/>
    <s v="Q4"/>
    <s v="C40863"/>
    <x v="3"/>
    <n v="3"/>
    <n v="163.13"/>
    <s v="457 Main St"/>
    <x v="3"/>
    <x v="0"/>
    <s v="TRK20553345"/>
    <n v="5"/>
    <x v="3"/>
    <x v="3"/>
    <n v="489.39"/>
    <n v="489.39"/>
  </r>
  <r>
    <x v="679"/>
    <x v="488"/>
    <x v="0"/>
    <s v="Q1"/>
    <s v="C40798"/>
    <x v="2"/>
    <n v="3"/>
    <n v="360.66"/>
    <s v="304 Main St"/>
    <x v="1"/>
    <x v="2"/>
    <s v="TRK66106697"/>
    <n v="5"/>
    <x v="1"/>
    <x v="0"/>
    <n v="1081.98"/>
    <n v="1081.98"/>
  </r>
  <r>
    <x v="680"/>
    <x v="183"/>
    <x v="0"/>
    <s v="Q3"/>
    <s v="C16702"/>
    <x v="0"/>
    <n v="3"/>
    <n v="463.39"/>
    <s v="694 Main St"/>
    <x v="2"/>
    <x v="2"/>
    <s v="TRK16953491"/>
    <n v="3"/>
    <x v="2"/>
    <x v="3"/>
    <n v="1390.17"/>
    <n v="1390.17"/>
  </r>
  <r>
    <x v="681"/>
    <x v="489"/>
    <x v="1"/>
    <s v="Q1"/>
    <s v="C38262"/>
    <x v="2"/>
    <n v="1"/>
    <n v="155.27000000000001"/>
    <s v="548 Main St"/>
    <x v="0"/>
    <x v="0"/>
    <s v="TRK47300502"/>
    <n v="6"/>
    <x v="2"/>
    <x v="2"/>
    <n v="155.27000000000001"/>
    <n v="155.27000000000001"/>
  </r>
  <r>
    <x v="682"/>
    <x v="363"/>
    <x v="0"/>
    <s v="Q3"/>
    <s v="C50274"/>
    <x v="0"/>
    <n v="3"/>
    <n v="509.42"/>
    <s v="449 Main St"/>
    <x v="2"/>
    <x v="1"/>
    <s v="TRK91729086"/>
    <n v="5"/>
    <x v="1"/>
    <x v="4"/>
    <n v="1528.26"/>
    <n v="1528.26"/>
  </r>
  <r>
    <x v="683"/>
    <x v="490"/>
    <x v="2"/>
    <s v="Q2"/>
    <s v="C91591"/>
    <x v="6"/>
    <n v="4"/>
    <n v="652.48"/>
    <s v="887 Main St"/>
    <x v="4"/>
    <x v="4"/>
    <s v="TRK23554043"/>
    <n v="5"/>
    <x v="1"/>
    <x v="0"/>
    <n v="2609.92"/>
    <n v="2609.92"/>
  </r>
  <r>
    <x v="684"/>
    <x v="491"/>
    <x v="1"/>
    <s v="Q3"/>
    <s v="C96583"/>
    <x v="4"/>
    <n v="4"/>
    <n v="34.840000000000003"/>
    <s v="288 Main St"/>
    <x v="2"/>
    <x v="0"/>
    <s v="TRK64353241"/>
    <n v="8"/>
    <x v="2"/>
    <x v="2"/>
    <n v="139.36000000000001"/>
    <n v="139.36000000000001"/>
  </r>
  <r>
    <x v="685"/>
    <x v="492"/>
    <x v="2"/>
    <s v="Q1"/>
    <s v="C64579"/>
    <x v="6"/>
    <n v="1"/>
    <n v="234.37"/>
    <s v="638 Main St"/>
    <x v="0"/>
    <x v="0"/>
    <s v="TRK10276565"/>
    <n v="5"/>
    <x v="1"/>
    <x v="2"/>
    <n v="234.37"/>
    <n v="234.37"/>
  </r>
  <r>
    <x v="686"/>
    <x v="112"/>
    <x v="0"/>
    <s v="Q4"/>
    <s v="C41903"/>
    <x v="6"/>
    <n v="3"/>
    <n v="53.6"/>
    <s v="525 Main St"/>
    <x v="4"/>
    <x v="4"/>
    <s v="TRK59112382"/>
    <n v="4"/>
    <x v="3"/>
    <x v="3"/>
    <n v="160.80000000000001"/>
    <n v="160.80000000000001"/>
  </r>
  <r>
    <x v="687"/>
    <x v="493"/>
    <x v="0"/>
    <s v="Q3"/>
    <s v="C19742"/>
    <x v="2"/>
    <n v="1"/>
    <n v="332.09"/>
    <s v="408 Main St"/>
    <x v="3"/>
    <x v="2"/>
    <s v="TRK68845230"/>
    <n v="5"/>
    <x v="1"/>
    <x v="0"/>
    <n v="332.09"/>
    <n v="332.09"/>
  </r>
  <r>
    <x v="688"/>
    <x v="26"/>
    <x v="1"/>
    <s v="Q1"/>
    <s v="C20077"/>
    <x v="0"/>
    <n v="4"/>
    <n v="593.22"/>
    <s v="154 Main St"/>
    <x v="2"/>
    <x v="1"/>
    <s v="TRK36415742"/>
    <n v="8"/>
    <x v="3"/>
    <x v="3"/>
    <n v="2372.88"/>
    <n v="2372.88"/>
  </r>
  <r>
    <x v="689"/>
    <x v="193"/>
    <x v="0"/>
    <s v="Q3"/>
    <s v="C13186"/>
    <x v="2"/>
    <n v="2"/>
    <n v="444.84"/>
    <s v="787 Main St"/>
    <x v="1"/>
    <x v="0"/>
    <s v="TRK56967415"/>
    <n v="7"/>
    <x v="2"/>
    <x v="3"/>
    <n v="889.68"/>
    <n v="889.68"/>
  </r>
  <r>
    <x v="690"/>
    <x v="494"/>
    <x v="1"/>
    <s v="Q3"/>
    <s v="C29318"/>
    <x v="0"/>
    <n v="1"/>
    <n v="24.48"/>
    <s v="128 Main St"/>
    <x v="3"/>
    <x v="2"/>
    <s v="TRK88666721"/>
    <n v="1"/>
    <x v="2"/>
    <x v="0"/>
    <n v="24.48"/>
    <n v="24.48"/>
  </r>
  <r>
    <x v="691"/>
    <x v="167"/>
    <x v="1"/>
    <s v="Q4"/>
    <s v="C36137"/>
    <x v="5"/>
    <n v="3"/>
    <n v="239.08"/>
    <s v="396 Main St"/>
    <x v="4"/>
    <x v="0"/>
    <s v="TRK57376416"/>
    <n v="8"/>
    <x v="2"/>
    <x v="4"/>
    <n v="717.24"/>
    <n v="717.24"/>
  </r>
  <r>
    <x v="692"/>
    <x v="19"/>
    <x v="0"/>
    <s v="Q1"/>
    <s v="C25534"/>
    <x v="6"/>
    <n v="5"/>
    <n v="196.84"/>
    <s v="319 Main St"/>
    <x v="2"/>
    <x v="3"/>
    <s v="TRK68347402"/>
    <n v="5"/>
    <x v="3"/>
    <x v="0"/>
    <n v="984.2"/>
    <n v="984.2"/>
  </r>
  <r>
    <x v="693"/>
    <x v="495"/>
    <x v="2"/>
    <s v="Q1"/>
    <s v="C62070"/>
    <x v="0"/>
    <n v="1"/>
    <n v="176.58"/>
    <s v="674 Main St"/>
    <x v="0"/>
    <x v="2"/>
    <s v="TRK10267127"/>
    <n v="4"/>
    <x v="2"/>
    <x v="1"/>
    <n v="176.58"/>
    <n v="176.58"/>
  </r>
  <r>
    <x v="694"/>
    <x v="276"/>
    <x v="0"/>
    <s v="Q4"/>
    <s v="C92049"/>
    <x v="4"/>
    <n v="4"/>
    <n v="666.52"/>
    <s v="619 Main St"/>
    <x v="4"/>
    <x v="0"/>
    <s v="TRK32287092"/>
    <n v="8"/>
    <x v="1"/>
    <x v="2"/>
    <n v="2666.08"/>
    <n v="2666.08"/>
  </r>
  <r>
    <x v="695"/>
    <x v="432"/>
    <x v="1"/>
    <s v="Q4"/>
    <s v="C52604"/>
    <x v="4"/>
    <n v="5"/>
    <n v="101.3"/>
    <s v="553 Main St"/>
    <x v="1"/>
    <x v="0"/>
    <s v="TRK48839788"/>
    <n v="7"/>
    <x v="1"/>
    <x v="2"/>
    <n v="506.5"/>
    <n v="506.5"/>
  </r>
  <r>
    <x v="696"/>
    <x v="226"/>
    <x v="0"/>
    <s v="Q3"/>
    <s v="C22429"/>
    <x v="3"/>
    <n v="4"/>
    <n v="151.19999999999999"/>
    <s v="965 Main St"/>
    <x v="3"/>
    <x v="4"/>
    <s v="TRK38572927"/>
    <n v="9"/>
    <x v="3"/>
    <x v="3"/>
    <n v="604.79999999999995"/>
    <n v="604.79999999999995"/>
  </r>
  <r>
    <x v="697"/>
    <x v="496"/>
    <x v="2"/>
    <s v="Q1"/>
    <s v="C27430"/>
    <x v="4"/>
    <n v="5"/>
    <n v="94.85"/>
    <s v="788 Main St"/>
    <x v="4"/>
    <x v="0"/>
    <s v="TRK45025840"/>
    <n v="6"/>
    <x v="3"/>
    <x v="2"/>
    <n v="474.25"/>
    <n v="474.25"/>
  </r>
  <r>
    <x v="698"/>
    <x v="0"/>
    <x v="0"/>
    <s v="Q1"/>
    <s v="C44366"/>
    <x v="5"/>
    <n v="2"/>
    <n v="388.22"/>
    <s v="169 Main St"/>
    <x v="4"/>
    <x v="3"/>
    <s v="TRK48658394"/>
    <n v="2"/>
    <x v="3"/>
    <x v="0"/>
    <n v="776.44"/>
    <n v="776.44"/>
  </r>
  <r>
    <x v="699"/>
    <x v="497"/>
    <x v="0"/>
    <s v="Q4"/>
    <s v="C36813"/>
    <x v="5"/>
    <n v="3"/>
    <n v="614.15"/>
    <s v="897 Main St"/>
    <x v="3"/>
    <x v="1"/>
    <s v="TRK84088900"/>
    <n v="3"/>
    <x v="2"/>
    <x v="3"/>
    <n v="1842.45"/>
    <n v="1842.45"/>
  </r>
  <r>
    <x v="700"/>
    <x v="498"/>
    <x v="1"/>
    <s v="Q3"/>
    <s v="C40201"/>
    <x v="5"/>
    <n v="2"/>
    <n v="92.91"/>
    <s v="555 Main St"/>
    <x v="4"/>
    <x v="2"/>
    <s v="TRK30198779"/>
    <n v="3"/>
    <x v="3"/>
    <x v="0"/>
    <n v="185.82"/>
    <n v="185.82"/>
  </r>
  <r>
    <x v="701"/>
    <x v="499"/>
    <x v="1"/>
    <s v="Q2"/>
    <s v="C75456"/>
    <x v="0"/>
    <n v="3"/>
    <n v="92.22"/>
    <s v="115 Main St"/>
    <x v="2"/>
    <x v="3"/>
    <s v="TRK90519490"/>
    <n v="5"/>
    <x v="1"/>
    <x v="2"/>
    <n v="276.66000000000003"/>
    <n v="276.66000000000003"/>
  </r>
  <r>
    <x v="702"/>
    <x v="410"/>
    <x v="1"/>
    <s v="Q2"/>
    <s v="C33315"/>
    <x v="4"/>
    <n v="3"/>
    <n v="562.54999999999995"/>
    <s v="154 Main St"/>
    <x v="0"/>
    <x v="2"/>
    <s v="TRK43589369"/>
    <n v="6"/>
    <x v="2"/>
    <x v="2"/>
    <n v="1687.65"/>
    <n v="1687.65"/>
  </r>
  <r>
    <x v="703"/>
    <x v="500"/>
    <x v="0"/>
    <s v="Q1"/>
    <s v="C89336"/>
    <x v="6"/>
    <n v="1"/>
    <n v="92.79"/>
    <s v="799 Main St"/>
    <x v="4"/>
    <x v="4"/>
    <s v="TRK47665103"/>
    <n v="3"/>
    <x v="3"/>
    <x v="2"/>
    <n v="92.79"/>
    <n v="92.79"/>
  </r>
  <r>
    <x v="704"/>
    <x v="301"/>
    <x v="0"/>
    <s v="Q2"/>
    <s v="C96034"/>
    <x v="6"/>
    <n v="4"/>
    <n v="30.27"/>
    <s v="819 Main St"/>
    <x v="1"/>
    <x v="3"/>
    <s v="TRK87261034"/>
    <n v="9"/>
    <x v="1"/>
    <x v="4"/>
    <n v="121.08"/>
    <n v="121.08"/>
  </r>
  <r>
    <x v="705"/>
    <x v="501"/>
    <x v="2"/>
    <s v="Q1"/>
    <s v="C50114"/>
    <x v="0"/>
    <n v="2"/>
    <n v="49.08"/>
    <s v="420 Main St"/>
    <x v="0"/>
    <x v="2"/>
    <s v="TRK20214786"/>
    <n v="7"/>
    <x v="1"/>
    <x v="0"/>
    <n v="98.16"/>
    <n v="98.16"/>
  </r>
  <r>
    <x v="706"/>
    <x v="380"/>
    <x v="2"/>
    <s v="Q1"/>
    <s v="C85330"/>
    <x v="6"/>
    <n v="5"/>
    <n v="228.09"/>
    <s v="969 Main St"/>
    <x v="3"/>
    <x v="2"/>
    <s v="TRK97693301"/>
    <n v="9"/>
    <x v="1"/>
    <x v="3"/>
    <n v="1140.45"/>
    <n v="1140.45"/>
  </r>
  <r>
    <x v="707"/>
    <x v="377"/>
    <x v="1"/>
    <s v="Q4"/>
    <s v="C31761"/>
    <x v="3"/>
    <n v="4"/>
    <n v="650.04"/>
    <s v="989 Main St"/>
    <x v="3"/>
    <x v="1"/>
    <s v="TRK17628852"/>
    <n v="6"/>
    <x v="0"/>
    <x v="3"/>
    <n v="2600.16"/>
    <n v="2600.16"/>
  </r>
  <r>
    <x v="708"/>
    <x v="155"/>
    <x v="2"/>
    <s v="Q1"/>
    <s v="C25268"/>
    <x v="4"/>
    <n v="1"/>
    <n v="665.11"/>
    <s v="788 Main St"/>
    <x v="4"/>
    <x v="4"/>
    <s v="TRK20481215"/>
    <n v="3"/>
    <x v="1"/>
    <x v="0"/>
    <n v="665.11"/>
    <n v="665.11"/>
  </r>
  <r>
    <x v="709"/>
    <x v="34"/>
    <x v="1"/>
    <s v="Q4"/>
    <s v="C17132"/>
    <x v="6"/>
    <n v="1"/>
    <n v="386.03"/>
    <s v="855 Main St"/>
    <x v="1"/>
    <x v="4"/>
    <s v="TRK37504692"/>
    <n v="4"/>
    <x v="1"/>
    <x v="4"/>
    <n v="386.03"/>
    <n v="386.03"/>
  </r>
  <r>
    <x v="710"/>
    <x v="319"/>
    <x v="1"/>
    <s v="Q3"/>
    <s v="C48790"/>
    <x v="5"/>
    <n v="5"/>
    <n v="21.54"/>
    <s v="113 Main St"/>
    <x v="3"/>
    <x v="2"/>
    <s v="TRK19086608"/>
    <n v="10"/>
    <x v="2"/>
    <x v="4"/>
    <n v="107.7"/>
    <n v="107.7"/>
  </r>
  <r>
    <x v="711"/>
    <x v="502"/>
    <x v="1"/>
    <s v="Q3"/>
    <s v="C61070"/>
    <x v="2"/>
    <n v="2"/>
    <n v="475.78"/>
    <s v="632 Main St"/>
    <x v="1"/>
    <x v="0"/>
    <s v="TRK90764894"/>
    <n v="2"/>
    <x v="3"/>
    <x v="4"/>
    <n v="951.56"/>
    <n v="951.56"/>
  </r>
  <r>
    <x v="712"/>
    <x v="486"/>
    <x v="1"/>
    <s v="Q1"/>
    <s v="C56969"/>
    <x v="2"/>
    <n v="2"/>
    <n v="68.400000000000006"/>
    <s v="993 Main St"/>
    <x v="3"/>
    <x v="4"/>
    <s v="TRK10513339"/>
    <n v="7"/>
    <x v="1"/>
    <x v="2"/>
    <n v="136.80000000000001"/>
    <n v="136.80000000000001"/>
  </r>
  <r>
    <x v="713"/>
    <x v="370"/>
    <x v="2"/>
    <s v="Q2"/>
    <s v="C65056"/>
    <x v="2"/>
    <n v="4"/>
    <n v="532.49"/>
    <s v="638 Main St"/>
    <x v="1"/>
    <x v="1"/>
    <s v="TRK31705278"/>
    <n v="6"/>
    <x v="0"/>
    <x v="3"/>
    <n v="2129.96"/>
    <n v="2129.96"/>
  </r>
  <r>
    <x v="714"/>
    <x v="453"/>
    <x v="0"/>
    <s v="Q2"/>
    <s v="C84888"/>
    <x v="5"/>
    <n v="1"/>
    <n v="51.73"/>
    <s v="278 Main St"/>
    <x v="0"/>
    <x v="4"/>
    <s v="TRK23612847"/>
    <n v="1"/>
    <x v="1"/>
    <x v="3"/>
    <n v="51.73"/>
    <n v="51.73"/>
  </r>
  <r>
    <x v="715"/>
    <x v="503"/>
    <x v="1"/>
    <s v="Q3"/>
    <s v="C68266"/>
    <x v="4"/>
    <n v="3"/>
    <n v="653.63"/>
    <s v="281 Main St"/>
    <x v="1"/>
    <x v="3"/>
    <s v="TRK96161062"/>
    <n v="7"/>
    <x v="1"/>
    <x v="2"/>
    <n v="1960.89"/>
    <n v="1960.89"/>
  </r>
  <r>
    <x v="716"/>
    <x v="136"/>
    <x v="1"/>
    <s v="Q2"/>
    <s v="C84115"/>
    <x v="3"/>
    <n v="3"/>
    <n v="454.29"/>
    <s v="891 Main St"/>
    <x v="2"/>
    <x v="4"/>
    <s v="TRK25466842"/>
    <n v="4"/>
    <x v="3"/>
    <x v="4"/>
    <n v="1362.87"/>
    <n v="1362.87"/>
  </r>
  <r>
    <x v="717"/>
    <x v="504"/>
    <x v="0"/>
    <s v="Q4"/>
    <s v="C50087"/>
    <x v="3"/>
    <n v="3"/>
    <n v="122.11"/>
    <s v="707 Main St"/>
    <x v="1"/>
    <x v="3"/>
    <s v="TRK31143760"/>
    <n v="4"/>
    <x v="3"/>
    <x v="2"/>
    <n v="366.33"/>
    <n v="366.33"/>
  </r>
  <r>
    <x v="718"/>
    <x v="505"/>
    <x v="0"/>
    <s v="Q2"/>
    <s v="C16790"/>
    <x v="5"/>
    <n v="4"/>
    <n v="64.739999999999995"/>
    <s v="718 Main St"/>
    <x v="3"/>
    <x v="1"/>
    <s v="TRK91791367"/>
    <n v="8"/>
    <x v="0"/>
    <x v="4"/>
    <n v="258.95999999999998"/>
    <n v="258.95999999999998"/>
  </r>
  <r>
    <x v="719"/>
    <x v="506"/>
    <x v="1"/>
    <s v="Q1"/>
    <s v="C46920"/>
    <x v="5"/>
    <n v="2"/>
    <n v="681.06"/>
    <s v="703 Main St"/>
    <x v="0"/>
    <x v="0"/>
    <s v="TRK86403837"/>
    <n v="3"/>
    <x v="1"/>
    <x v="3"/>
    <n v="1362.12"/>
    <n v="1362.12"/>
  </r>
  <r>
    <x v="720"/>
    <x v="507"/>
    <x v="0"/>
    <s v="Q3"/>
    <s v="C12740"/>
    <x v="6"/>
    <n v="5"/>
    <n v="128.94999999999999"/>
    <s v="305 Main St"/>
    <x v="4"/>
    <x v="4"/>
    <s v="TRK98506513"/>
    <n v="10"/>
    <x v="1"/>
    <x v="0"/>
    <n v="644.75"/>
    <n v="644.75"/>
  </r>
  <r>
    <x v="721"/>
    <x v="508"/>
    <x v="1"/>
    <s v="Q1"/>
    <s v="C46557"/>
    <x v="6"/>
    <n v="2"/>
    <n v="118.59"/>
    <s v="890 Main St"/>
    <x v="2"/>
    <x v="3"/>
    <s v="TRK56110689"/>
    <n v="2"/>
    <x v="2"/>
    <x v="2"/>
    <n v="237.18"/>
    <n v="237.18"/>
  </r>
  <r>
    <x v="722"/>
    <x v="64"/>
    <x v="1"/>
    <s v="Q4"/>
    <s v="C58156"/>
    <x v="4"/>
    <n v="1"/>
    <n v="95.1"/>
    <s v="516 Main St"/>
    <x v="3"/>
    <x v="4"/>
    <s v="TRK49719458"/>
    <n v="1"/>
    <x v="3"/>
    <x v="0"/>
    <n v="95.1"/>
    <n v="95.1"/>
  </r>
  <r>
    <x v="723"/>
    <x v="509"/>
    <x v="0"/>
    <s v="Q4"/>
    <s v="C14455"/>
    <x v="6"/>
    <n v="3"/>
    <n v="54.95"/>
    <s v="385 Main St"/>
    <x v="4"/>
    <x v="2"/>
    <s v="TRK50933724"/>
    <n v="8"/>
    <x v="0"/>
    <x v="1"/>
    <n v="164.85"/>
    <n v="164.85"/>
  </r>
  <r>
    <x v="724"/>
    <x v="266"/>
    <x v="1"/>
    <s v="Q4"/>
    <s v="C63150"/>
    <x v="4"/>
    <n v="3"/>
    <n v="136.97"/>
    <s v="326 Main St"/>
    <x v="2"/>
    <x v="2"/>
    <s v="TRK19348078"/>
    <n v="4"/>
    <x v="1"/>
    <x v="1"/>
    <n v="410.91"/>
    <n v="410.91"/>
  </r>
  <r>
    <x v="725"/>
    <x v="255"/>
    <x v="0"/>
    <s v="Q1"/>
    <s v="C95269"/>
    <x v="3"/>
    <n v="2"/>
    <n v="194.85"/>
    <s v="372 Main St"/>
    <x v="3"/>
    <x v="2"/>
    <s v="TRK45670926"/>
    <n v="5"/>
    <x v="2"/>
    <x v="1"/>
    <n v="389.7"/>
    <n v="389.7"/>
  </r>
  <r>
    <x v="726"/>
    <x v="510"/>
    <x v="1"/>
    <s v="Q4"/>
    <s v="C18105"/>
    <x v="5"/>
    <n v="4"/>
    <n v="583.02"/>
    <s v="338 Main St"/>
    <x v="1"/>
    <x v="3"/>
    <s v="TRK94006117"/>
    <n v="4"/>
    <x v="1"/>
    <x v="3"/>
    <n v="2332.08"/>
    <n v="2332.08"/>
  </r>
  <r>
    <x v="727"/>
    <x v="470"/>
    <x v="1"/>
    <s v="Q3"/>
    <s v="C29063"/>
    <x v="3"/>
    <n v="5"/>
    <n v="95.75"/>
    <s v="379 Main St"/>
    <x v="1"/>
    <x v="0"/>
    <s v="TRK92745947"/>
    <n v="8"/>
    <x v="0"/>
    <x v="0"/>
    <n v="478.75"/>
    <n v="478.75"/>
  </r>
  <r>
    <x v="728"/>
    <x v="511"/>
    <x v="1"/>
    <s v="Q3"/>
    <s v="C10154"/>
    <x v="6"/>
    <n v="4"/>
    <n v="325.76"/>
    <s v="827 Main St"/>
    <x v="3"/>
    <x v="0"/>
    <s v="TRK79793300"/>
    <n v="8"/>
    <x v="3"/>
    <x v="2"/>
    <n v="1303.04"/>
    <n v="1303.04"/>
  </r>
  <r>
    <x v="729"/>
    <x v="102"/>
    <x v="0"/>
    <s v="Q3"/>
    <s v="C36997"/>
    <x v="1"/>
    <n v="4"/>
    <n v="186.41"/>
    <s v="819 Main St"/>
    <x v="3"/>
    <x v="4"/>
    <s v="TRK92794872"/>
    <n v="6"/>
    <x v="0"/>
    <x v="4"/>
    <n v="745.64"/>
    <n v="745.64"/>
  </r>
  <r>
    <x v="730"/>
    <x v="512"/>
    <x v="2"/>
    <s v="Q1"/>
    <s v="C77357"/>
    <x v="1"/>
    <n v="1"/>
    <n v="474.6"/>
    <s v="407 Main St"/>
    <x v="0"/>
    <x v="3"/>
    <s v="TRK91943923"/>
    <n v="4"/>
    <x v="0"/>
    <x v="2"/>
    <n v="474.6"/>
    <n v="474.6"/>
  </r>
  <r>
    <x v="731"/>
    <x v="267"/>
    <x v="1"/>
    <s v="Q2"/>
    <s v="C71310"/>
    <x v="4"/>
    <n v="5"/>
    <n v="584.46"/>
    <s v="308 Main St"/>
    <x v="2"/>
    <x v="2"/>
    <s v="TRK48292586"/>
    <n v="8"/>
    <x v="2"/>
    <x v="2"/>
    <n v="2922.3"/>
    <n v="2922.3"/>
  </r>
  <r>
    <x v="732"/>
    <x v="456"/>
    <x v="2"/>
    <s v="Q1"/>
    <s v="C80987"/>
    <x v="5"/>
    <n v="1"/>
    <n v="132.05000000000001"/>
    <s v="787 Main St"/>
    <x v="1"/>
    <x v="3"/>
    <s v="TRK42187776"/>
    <n v="2"/>
    <x v="2"/>
    <x v="4"/>
    <n v="132.05000000000001"/>
    <n v="132.05000000000001"/>
  </r>
  <r>
    <x v="733"/>
    <x v="513"/>
    <x v="0"/>
    <s v="Q4"/>
    <s v="C90757"/>
    <x v="2"/>
    <n v="4"/>
    <n v="494.84"/>
    <s v="694 Main St"/>
    <x v="4"/>
    <x v="2"/>
    <s v="TRK87991608"/>
    <n v="8"/>
    <x v="0"/>
    <x v="2"/>
    <n v="1979.36"/>
    <n v="1979.36"/>
  </r>
  <r>
    <x v="734"/>
    <x v="514"/>
    <x v="1"/>
    <s v="Q1"/>
    <s v="C51898"/>
    <x v="4"/>
    <n v="4"/>
    <n v="224.61"/>
    <s v="630 Main St"/>
    <x v="2"/>
    <x v="2"/>
    <s v="TRK19767885"/>
    <n v="6"/>
    <x v="3"/>
    <x v="3"/>
    <n v="898.44"/>
    <n v="898.44"/>
  </r>
  <r>
    <x v="735"/>
    <x v="515"/>
    <x v="1"/>
    <s v="Q2"/>
    <s v="C94508"/>
    <x v="0"/>
    <n v="4"/>
    <n v="44.07"/>
    <s v="359 Main St"/>
    <x v="0"/>
    <x v="4"/>
    <s v="TRK13443264"/>
    <n v="6"/>
    <x v="2"/>
    <x v="2"/>
    <n v="176.28"/>
    <n v="176.28"/>
  </r>
  <r>
    <x v="736"/>
    <x v="516"/>
    <x v="1"/>
    <s v="Q1"/>
    <s v="C59441"/>
    <x v="0"/>
    <n v="5"/>
    <n v="418.53"/>
    <s v="696 Main St"/>
    <x v="2"/>
    <x v="4"/>
    <s v="TRK66186874"/>
    <n v="6"/>
    <x v="1"/>
    <x v="4"/>
    <n v="2092.65"/>
    <n v="2092.65"/>
  </r>
  <r>
    <x v="737"/>
    <x v="517"/>
    <x v="1"/>
    <s v="Q1"/>
    <s v="C91029"/>
    <x v="1"/>
    <n v="4"/>
    <n v="532.87"/>
    <s v="972 Main St"/>
    <x v="4"/>
    <x v="4"/>
    <s v="TRK25501930"/>
    <n v="9"/>
    <x v="1"/>
    <x v="0"/>
    <n v="2131.48"/>
    <n v="2131.48"/>
  </r>
  <r>
    <x v="738"/>
    <x v="518"/>
    <x v="2"/>
    <s v="Q2"/>
    <s v="C96261"/>
    <x v="1"/>
    <n v="2"/>
    <n v="485.37"/>
    <s v="264 Main St"/>
    <x v="2"/>
    <x v="0"/>
    <s v="TRK44998396"/>
    <n v="5"/>
    <x v="0"/>
    <x v="2"/>
    <n v="970.74"/>
    <n v="970.74"/>
  </r>
  <r>
    <x v="739"/>
    <x v="136"/>
    <x v="1"/>
    <s v="Q2"/>
    <s v="C35123"/>
    <x v="1"/>
    <n v="4"/>
    <n v="386.73"/>
    <s v="513 Main St"/>
    <x v="4"/>
    <x v="3"/>
    <s v="TRK58979275"/>
    <n v="4"/>
    <x v="0"/>
    <x v="3"/>
    <n v="1546.92"/>
    <n v="1546.92"/>
  </r>
  <r>
    <x v="740"/>
    <x v="351"/>
    <x v="1"/>
    <s v="Q3"/>
    <s v="C10892"/>
    <x v="6"/>
    <n v="2"/>
    <n v="377.47"/>
    <s v="433 Main St"/>
    <x v="4"/>
    <x v="4"/>
    <s v="TRK76154554"/>
    <n v="7"/>
    <x v="2"/>
    <x v="4"/>
    <n v="754.94"/>
    <n v="754.94"/>
  </r>
  <r>
    <x v="741"/>
    <x v="185"/>
    <x v="2"/>
    <s v="Q1"/>
    <s v="C99683"/>
    <x v="0"/>
    <n v="5"/>
    <n v="332.64"/>
    <s v="945 Main St"/>
    <x v="3"/>
    <x v="3"/>
    <s v="TRK87305883"/>
    <n v="10"/>
    <x v="2"/>
    <x v="1"/>
    <n v="1663.2"/>
    <n v="1663.2"/>
  </r>
  <r>
    <x v="742"/>
    <x v="519"/>
    <x v="1"/>
    <s v="Q4"/>
    <s v="C41974"/>
    <x v="5"/>
    <n v="3"/>
    <n v="699.93"/>
    <s v="726 Main St"/>
    <x v="4"/>
    <x v="2"/>
    <s v="TRK48051468"/>
    <n v="7"/>
    <x v="0"/>
    <x v="4"/>
    <n v="2099.79"/>
    <n v="2099.79"/>
  </r>
  <r>
    <x v="743"/>
    <x v="430"/>
    <x v="1"/>
    <s v="Q3"/>
    <s v="C23978"/>
    <x v="0"/>
    <n v="1"/>
    <n v="576.35"/>
    <s v="549 Main St"/>
    <x v="3"/>
    <x v="2"/>
    <s v="TRK87090813"/>
    <n v="1"/>
    <x v="3"/>
    <x v="0"/>
    <n v="576.35"/>
    <n v="576.35"/>
  </r>
  <r>
    <x v="744"/>
    <x v="520"/>
    <x v="1"/>
    <s v="Q2"/>
    <s v="C10642"/>
    <x v="2"/>
    <n v="2"/>
    <n v="461.37"/>
    <s v="200 Main St"/>
    <x v="4"/>
    <x v="3"/>
    <s v="TRK98725693"/>
    <n v="5"/>
    <x v="0"/>
    <x v="4"/>
    <n v="922.74"/>
    <n v="922.74"/>
  </r>
  <r>
    <x v="745"/>
    <x v="521"/>
    <x v="0"/>
    <s v="Q1"/>
    <s v="C73813"/>
    <x v="4"/>
    <n v="4"/>
    <n v="111.3"/>
    <s v="364 Main St"/>
    <x v="0"/>
    <x v="4"/>
    <s v="TRK89906749"/>
    <n v="7"/>
    <x v="1"/>
    <x v="2"/>
    <n v="445.2"/>
    <n v="445.2"/>
  </r>
  <r>
    <x v="746"/>
    <x v="522"/>
    <x v="2"/>
    <s v="Q1"/>
    <s v="C32183"/>
    <x v="6"/>
    <n v="3"/>
    <n v="661.89"/>
    <s v="551 Main St"/>
    <x v="1"/>
    <x v="1"/>
    <s v="TRK76287027"/>
    <n v="6"/>
    <x v="3"/>
    <x v="1"/>
    <n v="1985.67"/>
    <n v="1985.67"/>
  </r>
  <r>
    <x v="747"/>
    <x v="495"/>
    <x v="2"/>
    <s v="Q1"/>
    <s v="C54277"/>
    <x v="2"/>
    <n v="2"/>
    <n v="259.58"/>
    <s v="940 Main St"/>
    <x v="0"/>
    <x v="3"/>
    <s v="TRK26500181"/>
    <n v="7"/>
    <x v="1"/>
    <x v="0"/>
    <n v="519.16"/>
    <n v="519.16"/>
  </r>
  <r>
    <x v="748"/>
    <x v="523"/>
    <x v="1"/>
    <s v="Q3"/>
    <s v="C56553"/>
    <x v="2"/>
    <n v="3"/>
    <n v="70.81"/>
    <s v="249 Main St"/>
    <x v="2"/>
    <x v="0"/>
    <s v="TRK37667360"/>
    <n v="8"/>
    <x v="1"/>
    <x v="1"/>
    <n v="212.43"/>
    <n v="212.43"/>
  </r>
  <r>
    <x v="749"/>
    <x v="524"/>
    <x v="2"/>
    <s v="Q2"/>
    <s v="C17551"/>
    <x v="5"/>
    <n v="1"/>
    <n v="518.39"/>
    <s v="997 Main St"/>
    <x v="0"/>
    <x v="4"/>
    <s v="TRK88797170"/>
    <n v="4"/>
    <x v="1"/>
    <x v="0"/>
    <n v="518.39"/>
    <n v="518.39"/>
  </r>
  <r>
    <x v="750"/>
    <x v="90"/>
    <x v="0"/>
    <s v="Q1"/>
    <s v="C14737"/>
    <x v="2"/>
    <n v="4"/>
    <n v="145.41"/>
    <s v="637 Main St"/>
    <x v="2"/>
    <x v="2"/>
    <s v="TRK10295115"/>
    <n v="7"/>
    <x v="1"/>
    <x v="2"/>
    <n v="581.64"/>
    <n v="581.64"/>
  </r>
  <r>
    <x v="751"/>
    <x v="16"/>
    <x v="0"/>
    <s v="Q1"/>
    <s v="C35168"/>
    <x v="2"/>
    <n v="2"/>
    <n v="599.86"/>
    <s v="455 Main St"/>
    <x v="3"/>
    <x v="4"/>
    <s v="TRK76960854"/>
    <n v="7"/>
    <x v="1"/>
    <x v="3"/>
    <n v="1199.72"/>
    <n v="1199.72"/>
  </r>
  <r>
    <x v="752"/>
    <x v="525"/>
    <x v="1"/>
    <s v="Q4"/>
    <s v="C82217"/>
    <x v="1"/>
    <n v="4"/>
    <n v="429.37"/>
    <s v="299 Main St"/>
    <x v="2"/>
    <x v="3"/>
    <s v="TRK33305694"/>
    <n v="8"/>
    <x v="1"/>
    <x v="4"/>
    <n v="1717.48"/>
    <n v="1717.48"/>
  </r>
  <r>
    <x v="753"/>
    <x v="526"/>
    <x v="1"/>
    <s v="Q2"/>
    <s v="C42270"/>
    <x v="1"/>
    <n v="2"/>
    <n v="241.49"/>
    <s v="864 Main St"/>
    <x v="0"/>
    <x v="2"/>
    <s v="TRK72697796"/>
    <n v="7"/>
    <x v="1"/>
    <x v="0"/>
    <n v="482.98"/>
    <n v="482.98"/>
  </r>
  <r>
    <x v="754"/>
    <x v="133"/>
    <x v="2"/>
    <s v="Q2"/>
    <s v="C48846"/>
    <x v="4"/>
    <n v="2"/>
    <n v="452.05"/>
    <s v="983 Main St"/>
    <x v="2"/>
    <x v="2"/>
    <s v="TRK52804097"/>
    <n v="3"/>
    <x v="3"/>
    <x v="2"/>
    <n v="904.1"/>
    <n v="904.1"/>
  </r>
  <r>
    <x v="755"/>
    <x v="527"/>
    <x v="0"/>
    <s v="Q2"/>
    <s v="C54160"/>
    <x v="6"/>
    <n v="3"/>
    <n v="336.71"/>
    <s v="658 Main St"/>
    <x v="2"/>
    <x v="4"/>
    <s v="TRK60515972"/>
    <n v="4"/>
    <x v="2"/>
    <x v="2"/>
    <n v="1010.13"/>
    <n v="1010.13"/>
  </r>
  <r>
    <x v="756"/>
    <x v="326"/>
    <x v="1"/>
    <s v="Q2"/>
    <s v="C14080"/>
    <x v="1"/>
    <n v="1"/>
    <n v="283.69"/>
    <s v="202 Main St"/>
    <x v="3"/>
    <x v="0"/>
    <s v="TRK93163682"/>
    <n v="6"/>
    <x v="2"/>
    <x v="4"/>
    <n v="283.69"/>
    <n v="283.69"/>
  </r>
  <r>
    <x v="757"/>
    <x v="27"/>
    <x v="1"/>
    <s v="Q1"/>
    <s v="C81074"/>
    <x v="6"/>
    <n v="1"/>
    <n v="157.72"/>
    <s v="597 Main St"/>
    <x v="0"/>
    <x v="3"/>
    <s v="TRK91105190"/>
    <n v="2"/>
    <x v="1"/>
    <x v="4"/>
    <n v="157.72"/>
    <n v="157.72"/>
  </r>
  <r>
    <x v="758"/>
    <x v="465"/>
    <x v="0"/>
    <s v="Q1"/>
    <s v="C69021"/>
    <x v="2"/>
    <n v="3"/>
    <n v="624.84"/>
    <s v="917 Main St"/>
    <x v="2"/>
    <x v="1"/>
    <s v="TRK57148510"/>
    <n v="8"/>
    <x v="3"/>
    <x v="3"/>
    <n v="1874.52"/>
    <n v="1874.52"/>
  </r>
  <r>
    <x v="759"/>
    <x v="528"/>
    <x v="0"/>
    <s v="Q3"/>
    <s v="C96283"/>
    <x v="6"/>
    <n v="3"/>
    <n v="308.01"/>
    <s v="366 Main St"/>
    <x v="4"/>
    <x v="4"/>
    <s v="TRK91784124"/>
    <n v="3"/>
    <x v="1"/>
    <x v="3"/>
    <n v="924.03"/>
    <n v="924.03"/>
  </r>
  <r>
    <x v="760"/>
    <x v="403"/>
    <x v="2"/>
    <s v="Q1"/>
    <s v="C96636"/>
    <x v="6"/>
    <n v="1"/>
    <n v="39.56"/>
    <s v="283 Main St"/>
    <x v="0"/>
    <x v="1"/>
    <s v="TRK73324346"/>
    <n v="5"/>
    <x v="2"/>
    <x v="4"/>
    <n v="39.56"/>
    <n v="39.56"/>
  </r>
  <r>
    <x v="761"/>
    <x v="454"/>
    <x v="0"/>
    <s v="Q2"/>
    <s v="C37235"/>
    <x v="6"/>
    <n v="4"/>
    <n v="37.76"/>
    <s v="217 Main St"/>
    <x v="0"/>
    <x v="3"/>
    <s v="TRK67789367"/>
    <n v="7"/>
    <x v="2"/>
    <x v="4"/>
    <n v="151.04"/>
    <n v="151.04"/>
  </r>
  <r>
    <x v="762"/>
    <x v="529"/>
    <x v="1"/>
    <s v="Q3"/>
    <s v="C12444"/>
    <x v="1"/>
    <n v="3"/>
    <n v="76.959999999999994"/>
    <s v="611 Main St"/>
    <x v="4"/>
    <x v="2"/>
    <s v="TRK97621403"/>
    <n v="8"/>
    <x v="1"/>
    <x v="2"/>
    <n v="230.88"/>
    <n v="230.88"/>
  </r>
  <r>
    <x v="763"/>
    <x v="388"/>
    <x v="0"/>
    <s v="Q2"/>
    <s v="C79142"/>
    <x v="5"/>
    <n v="1"/>
    <n v="569.96"/>
    <s v="533 Main St"/>
    <x v="1"/>
    <x v="3"/>
    <s v="TRK30915955"/>
    <n v="4"/>
    <x v="1"/>
    <x v="2"/>
    <n v="569.96"/>
    <n v="569.96"/>
  </r>
  <r>
    <x v="764"/>
    <x v="416"/>
    <x v="1"/>
    <s v="Q1"/>
    <s v="C35983"/>
    <x v="5"/>
    <n v="5"/>
    <n v="627.42999999999995"/>
    <s v="806 Main St"/>
    <x v="2"/>
    <x v="1"/>
    <s v="TRK14016163"/>
    <n v="10"/>
    <x v="1"/>
    <x v="2"/>
    <n v="3137.15"/>
    <n v="3137.15"/>
  </r>
  <r>
    <x v="765"/>
    <x v="426"/>
    <x v="0"/>
    <s v="Q4"/>
    <s v="C36150"/>
    <x v="5"/>
    <n v="2"/>
    <n v="534.91"/>
    <s v="281 Main St"/>
    <x v="0"/>
    <x v="2"/>
    <s v="TRK96249043"/>
    <n v="5"/>
    <x v="0"/>
    <x v="4"/>
    <n v="1069.82"/>
    <n v="1069.82"/>
  </r>
  <r>
    <x v="766"/>
    <x v="55"/>
    <x v="0"/>
    <s v="Q1"/>
    <s v="C91454"/>
    <x v="4"/>
    <n v="2"/>
    <n v="278.88"/>
    <s v="494 Main St"/>
    <x v="0"/>
    <x v="4"/>
    <s v="TRK99985340"/>
    <n v="3"/>
    <x v="1"/>
    <x v="1"/>
    <n v="557.76"/>
    <n v="557.76"/>
  </r>
  <r>
    <x v="767"/>
    <x v="479"/>
    <x v="2"/>
    <s v="Q2"/>
    <s v="C19368"/>
    <x v="2"/>
    <n v="2"/>
    <n v="323.22000000000003"/>
    <s v="517 Main St"/>
    <x v="2"/>
    <x v="3"/>
    <s v="TRK80436037"/>
    <n v="7"/>
    <x v="2"/>
    <x v="0"/>
    <n v="646.44000000000005"/>
    <n v="646.44000000000005"/>
  </r>
  <r>
    <x v="768"/>
    <x v="355"/>
    <x v="0"/>
    <s v="Q3"/>
    <s v="C35987"/>
    <x v="2"/>
    <n v="5"/>
    <n v="653.46"/>
    <s v="165 Main St"/>
    <x v="4"/>
    <x v="1"/>
    <s v="TRK28918815"/>
    <n v="9"/>
    <x v="3"/>
    <x v="2"/>
    <n v="3267.3"/>
    <n v="3267.3"/>
  </r>
  <r>
    <x v="769"/>
    <x v="117"/>
    <x v="0"/>
    <s v="Q3"/>
    <s v="C13366"/>
    <x v="4"/>
    <n v="4"/>
    <n v="678.55"/>
    <s v="568 Main St"/>
    <x v="4"/>
    <x v="3"/>
    <s v="TRK98691410"/>
    <n v="5"/>
    <x v="2"/>
    <x v="2"/>
    <n v="2714.2"/>
    <n v="2714.2"/>
  </r>
  <r>
    <x v="770"/>
    <x v="530"/>
    <x v="1"/>
    <s v="Q1"/>
    <s v="C72166"/>
    <x v="6"/>
    <n v="1"/>
    <n v="314.38"/>
    <s v="227 Main St"/>
    <x v="1"/>
    <x v="2"/>
    <s v="TRK67733444"/>
    <n v="6"/>
    <x v="2"/>
    <x v="4"/>
    <n v="314.38"/>
    <n v="314.38"/>
  </r>
  <r>
    <x v="771"/>
    <x v="520"/>
    <x v="1"/>
    <s v="Q2"/>
    <s v="C20357"/>
    <x v="1"/>
    <n v="3"/>
    <n v="692.44"/>
    <s v="272 Main St"/>
    <x v="0"/>
    <x v="1"/>
    <s v="TRK82236408"/>
    <n v="8"/>
    <x v="1"/>
    <x v="4"/>
    <n v="2077.3200000000002"/>
    <n v="2077.3200000000002"/>
  </r>
  <r>
    <x v="772"/>
    <x v="118"/>
    <x v="1"/>
    <s v="Q3"/>
    <s v="C33802"/>
    <x v="0"/>
    <n v="1"/>
    <n v="604.87"/>
    <s v="461 Main St"/>
    <x v="1"/>
    <x v="3"/>
    <s v="TRK25799478"/>
    <n v="4"/>
    <x v="2"/>
    <x v="0"/>
    <n v="604.87"/>
    <n v="604.87"/>
  </r>
  <r>
    <x v="773"/>
    <x v="164"/>
    <x v="2"/>
    <s v="Q2"/>
    <s v="C99205"/>
    <x v="1"/>
    <n v="2"/>
    <n v="512.33000000000004"/>
    <s v="415 Main St"/>
    <x v="4"/>
    <x v="1"/>
    <s v="TRK48904015"/>
    <n v="7"/>
    <x v="2"/>
    <x v="3"/>
    <n v="1024.6600000000001"/>
    <n v="1024.6600000000001"/>
  </r>
  <r>
    <x v="774"/>
    <x v="198"/>
    <x v="2"/>
    <s v="Q2"/>
    <s v="C29701"/>
    <x v="3"/>
    <n v="3"/>
    <n v="20.54"/>
    <s v="257 Main St"/>
    <x v="2"/>
    <x v="1"/>
    <s v="TRK42266846"/>
    <n v="3"/>
    <x v="1"/>
    <x v="0"/>
    <n v="61.62"/>
    <n v="61.62"/>
  </r>
  <r>
    <x v="775"/>
    <x v="190"/>
    <x v="0"/>
    <s v="Q1"/>
    <s v="C73941"/>
    <x v="1"/>
    <n v="2"/>
    <n v="625.22"/>
    <s v="569 Main St"/>
    <x v="1"/>
    <x v="1"/>
    <s v="TRK22051900"/>
    <n v="5"/>
    <x v="2"/>
    <x v="4"/>
    <n v="1250.44"/>
    <n v="1250.44"/>
  </r>
  <r>
    <x v="776"/>
    <x v="531"/>
    <x v="0"/>
    <s v="Q3"/>
    <s v="C69168"/>
    <x v="2"/>
    <n v="1"/>
    <n v="21.19"/>
    <s v="482 Main St"/>
    <x v="4"/>
    <x v="2"/>
    <s v="TRK10446197"/>
    <n v="5"/>
    <x v="3"/>
    <x v="4"/>
    <n v="21.19"/>
    <n v="21.19"/>
  </r>
  <r>
    <x v="777"/>
    <x v="438"/>
    <x v="2"/>
    <s v="Q1"/>
    <s v="C66116"/>
    <x v="3"/>
    <n v="5"/>
    <n v="64.489999999999995"/>
    <s v="633 Main St"/>
    <x v="1"/>
    <x v="1"/>
    <s v="TRK41967983"/>
    <n v="7"/>
    <x v="2"/>
    <x v="3"/>
    <n v="322.45"/>
    <n v="322.45"/>
  </r>
  <r>
    <x v="778"/>
    <x v="200"/>
    <x v="0"/>
    <s v="Q2"/>
    <s v="C85059"/>
    <x v="5"/>
    <n v="4"/>
    <n v="246.85"/>
    <s v="316 Main St"/>
    <x v="2"/>
    <x v="0"/>
    <s v="TRK56503740"/>
    <n v="8"/>
    <x v="3"/>
    <x v="4"/>
    <n v="987.4"/>
    <n v="987.4"/>
  </r>
  <r>
    <x v="779"/>
    <x v="142"/>
    <x v="0"/>
    <s v="Q4"/>
    <s v="C18076"/>
    <x v="1"/>
    <n v="3"/>
    <n v="588.74"/>
    <s v="751 Main St"/>
    <x v="0"/>
    <x v="4"/>
    <s v="TRK26661705"/>
    <n v="8"/>
    <x v="1"/>
    <x v="2"/>
    <n v="1766.22"/>
    <n v="1766.22"/>
  </r>
  <r>
    <x v="780"/>
    <x v="74"/>
    <x v="1"/>
    <s v="Q1"/>
    <s v="C41284"/>
    <x v="5"/>
    <n v="4"/>
    <n v="184.48"/>
    <s v="661 Main St"/>
    <x v="1"/>
    <x v="1"/>
    <s v="TRK73613128"/>
    <n v="4"/>
    <x v="3"/>
    <x v="4"/>
    <n v="737.92"/>
    <n v="737.92"/>
  </r>
  <r>
    <x v="781"/>
    <x v="532"/>
    <x v="1"/>
    <s v="Q1"/>
    <s v="C43524"/>
    <x v="1"/>
    <n v="5"/>
    <n v="524.26"/>
    <s v="934 Main St"/>
    <x v="3"/>
    <x v="3"/>
    <s v="TRK51479426"/>
    <n v="5"/>
    <x v="1"/>
    <x v="1"/>
    <n v="2621.3000000000002"/>
    <n v="2621.3000000000002"/>
  </r>
  <r>
    <x v="782"/>
    <x v="533"/>
    <x v="1"/>
    <s v="Q3"/>
    <s v="C58063"/>
    <x v="0"/>
    <n v="2"/>
    <n v="493.63"/>
    <s v="167 Main St"/>
    <x v="1"/>
    <x v="2"/>
    <s v="TRK50548869"/>
    <n v="6"/>
    <x v="0"/>
    <x v="1"/>
    <n v="987.26"/>
    <n v="987.26"/>
  </r>
  <r>
    <x v="783"/>
    <x v="534"/>
    <x v="2"/>
    <s v="Q2"/>
    <s v="C19937"/>
    <x v="4"/>
    <n v="1"/>
    <n v="438.34"/>
    <s v="281 Main St"/>
    <x v="3"/>
    <x v="2"/>
    <s v="TRK46990083"/>
    <n v="5"/>
    <x v="1"/>
    <x v="3"/>
    <n v="438.34"/>
    <n v="438.34"/>
  </r>
  <r>
    <x v="784"/>
    <x v="535"/>
    <x v="2"/>
    <s v="Q2"/>
    <s v="C21191"/>
    <x v="5"/>
    <n v="1"/>
    <n v="325.81"/>
    <s v="232 Main St"/>
    <x v="2"/>
    <x v="4"/>
    <s v="TRK85771230"/>
    <n v="1"/>
    <x v="3"/>
    <x v="1"/>
    <n v="325.81"/>
    <n v="325.81"/>
  </r>
  <r>
    <x v="785"/>
    <x v="536"/>
    <x v="0"/>
    <s v="Q3"/>
    <s v="C45862"/>
    <x v="3"/>
    <n v="1"/>
    <n v="176.1"/>
    <s v="342 Main St"/>
    <x v="2"/>
    <x v="4"/>
    <s v="TRK53089983"/>
    <n v="1"/>
    <x v="0"/>
    <x v="0"/>
    <n v="176.1"/>
    <n v="176.1"/>
  </r>
  <r>
    <x v="786"/>
    <x v="421"/>
    <x v="0"/>
    <s v="Q3"/>
    <s v="C39130"/>
    <x v="3"/>
    <n v="5"/>
    <n v="45.31"/>
    <s v="774 Main St"/>
    <x v="1"/>
    <x v="1"/>
    <s v="TRK99583414"/>
    <n v="8"/>
    <x v="2"/>
    <x v="1"/>
    <n v="226.55"/>
    <n v="226.55"/>
  </r>
  <r>
    <x v="787"/>
    <x v="537"/>
    <x v="1"/>
    <s v="Q1"/>
    <s v="C18167"/>
    <x v="6"/>
    <n v="4"/>
    <n v="221.96"/>
    <s v="193 Main St"/>
    <x v="4"/>
    <x v="3"/>
    <s v="TRK36841089"/>
    <n v="7"/>
    <x v="2"/>
    <x v="4"/>
    <n v="887.84"/>
    <n v="887.84"/>
  </r>
  <r>
    <x v="788"/>
    <x v="208"/>
    <x v="0"/>
    <s v="Q4"/>
    <s v="C47307"/>
    <x v="3"/>
    <n v="2"/>
    <n v="601.42999999999995"/>
    <s v="761 Main St"/>
    <x v="1"/>
    <x v="4"/>
    <s v="TRK43516112"/>
    <n v="5"/>
    <x v="1"/>
    <x v="0"/>
    <n v="1202.8599999999999"/>
    <n v="1202.8599999999999"/>
  </r>
  <r>
    <x v="789"/>
    <x v="538"/>
    <x v="0"/>
    <s v="Q3"/>
    <s v="C57276"/>
    <x v="2"/>
    <n v="5"/>
    <n v="691.28"/>
    <s v="183 Main St"/>
    <x v="1"/>
    <x v="3"/>
    <s v="TRK75899752"/>
    <n v="10"/>
    <x v="0"/>
    <x v="2"/>
    <n v="3456.4"/>
    <n v="3456.4"/>
  </r>
  <r>
    <x v="790"/>
    <x v="154"/>
    <x v="1"/>
    <s v="Q3"/>
    <s v="C38928"/>
    <x v="5"/>
    <n v="4"/>
    <n v="417.89"/>
    <s v="302 Main St"/>
    <x v="3"/>
    <x v="4"/>
    <s v="TRK96636009"/>
    <n v="4"/>
    <x v="2"/>
    <x v="4"/>
    <n v="1671.56"/>
    <n v="1671.56"/>
  </r>
  <r>
    <x v="791"/>
    <x v="539"/>
    <x v="1"/>
    <s v="Q1"/>
    <s v="C49710"/>
    <x v="3"/>
    <n v="4"/>
    <n v="409.28"/>
    <s v="956 Main St"/>
    <x v="4"/>
    <x v="4"/>
    <s v="TRK92591237"/>
    <n v="8"/>
    <x v="2"/>
    <x v="2"/>
    <n v="1637.12"/>
    <n v="1637.12"/>
  </r>
  <r>
    <x v="792"/>
    <x v="379"/>
    <x v="0"/>
    <s v="Q2"/>
    <s v="C41709"/>
    <x v="6"/>
    <n v="2"/>
    <n v="356.35"/>
    <s v="746 Main St"/>
    <x v="0"/>
    <x v="2"/>
    <s v="TRK90995294"/>
    <n v="6"/>
    <x v="3"/>
    <x v="3"/>
    <n v="712.7"/>
    <n v="712.7"/>
  </r>
  <r>
    <x v="793"/>
    <x v="116"/>
    <x v="1"/>
    <s v="Q2"/>
    <s v="C91255"/>
    <x v="3"/>
    <n v="5"/>
    <n v="170.22"/>
    <s v="769 Main St"/>
    <x v="0"/>
    <x v="3"/>
    <s v="TRK69599961"/>
    <n v="8"/>
    <x v="2"/>
    <x v="1"/>
    <n v="851.1"/>
    <n v="851.1"/>
  </r>
  <r>
    <x v="794"/>
    <x v="338"/>
    <x v="0"/>
    <s v="Q1"/>
    <s v="C76653"/>
    <x v="4"/>
    <n v="4"/>
    <n v="384.85"/>
    <s v="988 Main St"/>
    <x v="1"/>
    <x v="3"/>
    <s v="TRK77052196"/>
    <n v="9"/>
    <x v="1"/>
    <x v="0"/>
    <n v="1539.4"/>
    <n v="1539.4"/>
  </r>
  <r>
    <x v="795"/>
    <x v="540"/>
    <x v="1"/>
    <s v="Q4"/>
    <s v="C95667"/>
    <x v="5"/>
    <n v="4"/>
    <n v="115.77"/>
    <s v="586 Main St"/>
    <x v="1"/>
    <x v="4"/>
    <s v="TRK41266666"/>
    <n v="7"/>
    <x v="0"/>
    <x v="0"/>
    <n v="463.08"/>
    <n v="463.08"/>
  </r>
  <r>
    <x v="796"/>
    <x v="541"/>
    <x v="2"/>
    <s v="Q2"/>
    <s v="C33313"/>
    <x v="1"/>
    <n v="3"/>
    <n v="579.54999999999995"/>
    <s v="882 Main St"/>
    <x v="3"/>
    <x v="2"/>
    <s v="TRK13349970"/>
    <n v="8"/>
    <x v="3"/>
    <x v="3"/>
    <n v="1738.65"/>
    <n v="1738.65"/>
  </r>
  <r>
    <x v="797"/>
    <x v="146"/>
    <x v="0"/>
    <s v="Q1"/>
    <s v="C36825"/>
    <x v="5"/>
    <n v="2"/>
    <n v="438.76"/>
    <s v="426 Main St"/>
    <x v="0"/>
    <x v="2"/>
    <s v="TRK72557318"/>
    <n v="2"/>
    <x v="2"/>
    <x v="3"/>
    <n v="877.52"/>
    <n v="877.52"/>
  </r>
  <r>
    <x v="798"/>
    <x v="542"/>
    <x v="2"/>
    <s v="Q2"/>
    <s v="C20861"/>
    <x v="1"/>
    <n v="5"/>
    <n v="488.35"/>
    <s v="968 Main St"/>
    <x v="0"/>
    <x v="2"/>
    <s v="TRK89372013"/>
    <n v="9"/>
    <x v="1"/>
    <x v="2"/>
    <n v="2441.75"/>
    <n v="2441.75"/>
  </r>
  <r>
    <x v="799"/>
    <x v="397"/>
    <x v="0"/>
    <s v="Q2"/>
    <s v="C26364"/>
    <x v="5"/>
    <n v="4"/>
    <n v="328.56"/>
    <s v="803 Main St"/>
    <x v="0"/>
    <x v="2"/>
    <s v="TRK78924436"/>
    <n v="4"/>
    <x v="1"/>
    <x v="2"/>
    <n v="1314.24"/>
    <n v="1314.24"/>
  </r>
  <r>
    <x v="800"/>
    <x v="210"/>
    <x v="2"/>
    <s v="Q1"/>
    <s v="C34686"/>
    <x v="2"/>
    <n v="1"/>
    <n v="68.39"/>
    <s v="412 Main St"/>
    <x v="1"/>
    <x v="2"/>
    <s v="TRK99468332"/>
    <n v="3"/>
    <x v="3"/>
    <x v="3"/>
    <n v="68.39"/>
    <n v="68.39"/>
  </r>
  <r>
    <x v="801"/>
    <x v="71"/>
    <x v="0"/>
    <s v="Q2"/>
    <s v="C97593"/>
    <x v="4"/>
    <n v="4"/>
    <n v="595.62"/>
    <s v="738 Main St"/>
    <x v="0"/>
    <x v="4"/>
    <s v="TRK58443593"/>
    <n v="8"/>
    <x v="1"/>
    <x v="3"/>
    <n v="2382.48"/>
    <n v="2382.48"/>
  </r>
  <r>
    <x v="802"/>
    <x v="11"/>
    <x v="1"/>
    <s v="Q1"/>
    <s v="C84331"/>
    <x v="3"/>
    <n v="5"/>
    <n v="644.64"/>
    <s v="205 Main St"/>
    <x v="3"/>
    <x v="1"/>
    <s v="TRK34440714"/>
    <n v="6"/>
    <x v="1"/>
    <x v="2"/>
    <n v="3223.2"/>
    <n v="3223.2"/>
  </r>
  <r>
    <x v="803"/>
    <x v="38"/>
    <x v="0"/>
    <s v="Q3"/>
    <s v="C88775"/>
    <x v="0"/>
    <n v="5"/>
    <n v="397.81"/>
    <s v="223 Main St"/>
    <x v="0"/>
    <x v="2"/>
    <s v="TRK45098068"/>
    <n v="5"/>
    <x v="0"/>
    <x v="1"/>
    <n v="1989.05"/>
    <n v="1989.05"/>
  </r>
  <r>
    <x v="804"/>
    <x v="543"/>
    <x v="1"/>
    <s v="Q1"/>
    <s v="C76362"/>
    <x v="3"/>
    <n v="3"/>
    <n v="236.5"/>
    <s v="916 Main St"/>
    <x v="1"/>
    <x v="3"/>
    <s v="TRK11868618"/>
    <n v="8"/>
    <x v="1"/>
    <x v="2"/>
    <n v="709.5"/>
    <n v="709.5"/>
  </r>
  <r>
    <x v="805"/>
    <x v="12"/>
    <x v="1"/>
    <s v="Q4"/>
    <s v="C59278"/>
    <x v="5"/>
    <n v="5"/>
    <n v="472.01"/>
    <s v="178 Main St"/>
    <x v="3"/>
    <x v="1"/>
    <s v="TRK14590037"/>
    <n v="10"/>
    <x v="0"/>
    <x v="2"/>
    <n v="2360.0500000000002"/>
    <n v="2360.0500000000002"/>
  </r>
  <r>
    <x v="806"/>
    <x v="544"/>
    <x v="0"/>
    <s v="Q3"/>
    <s v="C55819"/>
    <x v="3"/>
    <n v="5"/>
    <n v="253.75"/>
    <s v="740 Main St"/>
    <x v="1"/>
    <x v="4"/>
    <s v="TRK13775054"/>
    <n v="9"/>
    <x v="3"/>
    <x v="0"/>
    <n v="1268.75"/>
    <n v="1268.75"/>
  </r>
  <r>
    <x v="807"/>
    <x v="337"/>
    <x v="1"/>
    <s v="Q4"/>
    <s v="C82344"/>
    <x v="0"/>
    <n v="3"/>
    <n v="676.21"/>
    <s v="260 Main St"/>
    <x v="1"/>
    <x v="3"/>
    <s v="TRK70957219"/>
    <n v="5"/>
    <x v="0"/>
    <x v="4"/>
    <n v="2028.63"/>
    <n v="2028.63"/>
  </r>
  <r>
    <x v="808"/>
    <x v="545"/>
    <x v="1"/>
    <s v="Q1"/>
    <s v="C65565"/>
    <x v="6"/>
    <n v="3"/>
    <n v="134.05000000000001"/>
    <s v="192 Main St"/>
    <x v="2"/>
    <x v="0"/>
    <s v="TRK80383756"/>
    <n v="3"/>
    <x v="2"/>
    <x v="4"/>
    <n v="402.15"/>
    <n v="402.15"/>
  </r>
  <r>
    <x v="809"/>
    <x v="398"/>
    <x v="1"/>
    <s v="Q2"/>
    <s v="C80416"/>
    <x v="6"/>
    <n v="5"/>
    <n v="217.43"/>
    <s v="752 Main St"/>
    <x v="0"/>
    <x v="0"/>
    <s v="TRK54385892"/>
    <n v="10"/>
    <x v="0"/>
    <x v="0"/>
    <n v="1087.1500000000001"/>
    <n v="1087.1500000000001"/>
  </r>
  <r>
    <x v="810"/>
    <x v="546"/>
    <x v="0"/>
    <s v="Q2"/>
    <s v="C23637"/>
    <x v="2"/>
    <n v="1"/>
    <n v="553.55999999999995"/>
    <s v="644 Main St"/>
    <x v="2"/>
    <x v="1"/>
    <s v="TRK16749863"/>
    <n v="5"/>
    <x v="2"/>
    <x v="1"/>
    <n v="553.55999999999995"/>
    <n v="553.55999999999995"/>
  </r>
  <r>
    <x v="811"/>
    <x v="212"/>
    <x v="0"/>
    <s v="Q4"/>
    <s v="C24769"/>
    <x v="5"/>
    <n v="2"/>
    <n v="28.55"/>
    <s v="864 Main St"/>
    <x v="3"/>
    <x v="0"/>
    <s v="TRK44538305"/>
    <n v="7"/>
    <x v="0"/>
    <x v="2"/>
    <n v="57.1"/>
    <n v="57.1"/>
  </r>
  <r>
    <x v="812"/>
    <x v="547"/>
    <x v="1"/>
    <s v="Q1"/>
    <s v="C81547"/>
    <x v="1"/>
    <n v="2"/>
    <n v="255.26"/>
    <s v="803 Main St"/>
    <x v="2"/>
    <x v="1"/>
    <s v="TRK88437123"/>
    <n v="6"/>
    <x v="1"/>
    <x v="4"/>
    <n v="510.52"/>
    <n v="510.52"/>
  </r>
  <r>
    <x v="813"/>
    <x v="175"/>
    <x v="2"/>
    <s v="Q1"/>
    <s v="C12813"/>
    <x v="5"/>
    <n v="5"/>
    <n v="292.54000000000002"/>
    <s v="263 Main St"/>
    <x v="0"/>
    <x v="1"/>
    <s v="TRK36131660"/>
    <n v="8"/>
    <x v="1"/>
    <x v="2"/>
    <n v="1462.7"/>
    <n v="1462.7"/>
  </r>
  <r>
    <x v="814"/>
    <x v="218"/>
    <x v="1"/>
    <s v="Q4"/>
    <s v="C50732"/>
    <x v="3"/>
    <n v="4"/>
    <n v="147.51"/>
    <s v="979 Main St"/>
    <x v="0"/>
    <x v="4"/>
    <s v="TRK21082461"/>
    <n v="4"/>
    <x v="3"/>
    <x v="0"/>
    <n v="590.04"/>
    <n v="590.04"/>
  </r>
  <r>
    <x v="815"/>
    <x v="548"/>
    <x v="1"/>
    <s v="Q3"/>
    <s v="C41320"/>
    <x v="4"/>
    <n v="3"/>
    <n v="569.84"/>
    <s v="920 Main St"/>
    <x v="3"/>
    <x v="1"/>
    <s v="TRK77539180"/>
    <n v="8"/>
    <x v="3"/>
    <x v="0"/>
    <n v="1709.52"/>
    <n v="1709.52"/>
  </r>
  <r>
    <x v="816"/>
    <x v="444"/>
    <x v="1"/>
    <s v="Q1"/>
    <s v="C55286"/>
    <x v="2"/>
    <n v="5"/>
    <n v="574.79"/>
    <s v="497 Main St"/>
    <x v="2"/>
    <x v="4"/>
    <s v="TRK39058734"/>
    <n v="8"/>
    <x v="3"/>
    <x v="1"/>
    <n v="2873.95"/>
    <n v="2873.95"/>
  </r>
  <r>
    <x v="817"/>
    <x v="469"/>
    <x v="0"/>
    <s v="Q4"/>
    <s v="C87994"/>
    <x v="3"/>
    <n v="4"/>
    <n v="598.19000000000005"/>
    <s v="430 Main St"/>
    <x v="2"/>
    <x v="3"/>
    <s v="TRK98883971"/>
    <n v="7"/>
    <x v="3"/>
    <x v="2"/>
    <n v="2392.7600000000002"/>
    <n v="2392.7600000000002"/>
  </r>
  <r>
    <x v="818"/>
    <x v="521"/>
    <x v="0"/>
    <s v="Q1"/>
    <s v="C25580"/>
    <x v="1"/>
    <n v="4"/>
    <n v="390.84"/>
    <s v="860 Main St"/>
    <x v="2"/>
    <x v="1"/>
    <s v="TRK58781638"/>
    <n v="9"/>
    <x v="3"/>
    <x v="1"/>
    <n v="1563.36"/>
    <n v="1563.36"/>
  </r>
  <r>
    <x v="819"/>
    <x v="335"/>
    <x v="1"/>
    <s v="Q3"/>
    <s v="C66196"/>
    <x v="1"/>
    <n v="2"/>
    <n v="398.45"/>
    <s v="650 Main St"/>
    <x v="0"/>
    <x v="1"/>
    <s v="TRK38104650"/>
    <n v="7"/>
    <x v="0"/>
    <x v="4"/>
    <n v="796.9"/>
    <n v="796.9"/>
  </r>
  <r>
    <x v="820"/>
    <x v="156"/>
    <x v="0"/>
    <s v="Q2"/>
    <s v="C35377"/>
    <x v="1"/>
    <n v="5"/>
    <n v="623.80999999999995"/>
    <s v="171 Main St"/>
    <x v="4"/>
    <x v="2"/>
    <s v="TRK17342157"/>
    <n v="6"/>
    <x v="1"/>
    <x v="2"/>
    <n v="3119.05"/>
    <n v="3119.05"/>
  </r>
  <r>
    <x v="821"/>
    <x v="549"/>
    <x v="1"/>
    <s v="Q4"/>
    <s v="C40771"/>
    <x v="5"/>
    <n v="4"/>
    <n v="174.49"/>
    <s v="259 Main St"/>
    <x v="2"/>
    <x v="3"/>
    <s v="TRK56310345"/>
    <n v="5"/>
    <x v="0"/>
    <x v="3"/>
    <n v="697.96"/>
    <n v="697.96"/>
  </r>
  <r>
    <x v="822"/>
    <x v="175"/>
    <x v="2"/>
    <s v="Q1"/>
    <s v="C20624"/>
    <x v="1"/>
    <n v="1"/>
    <n v="479.56"/>
    <s v="923 Main St"/>
    <x v="3"/>
    <x v="2"/>
    <s v="TRK45123395"/>
    <n v="1"/>
    <x v="0"/>
    <x v="4"/>
    <n v="479.56"/>
    <n v="479.56"/>
  </r>
  <r>
    <x v="823"/>
    <x v="550"/>
    <x v="1"/>
    <s v="Q4"/>
    <s v="C27070"/>
    <x v="5"/>
    <n v="4"/>
    <n v="653.13"/>
    <s v="973 Main St"/>
    <x v="2"/>
    <x v="0"/>
    <s v="TRK83842481"/>
    <n v="8"/>
    <x v="3"/>
    <x v="0"/>
    <n v="2612.52"/>
    <n v="2612.52"/>
  </r>
  <r>
    <x v="824"/>
    <x v="193"/>
    <x v="0"/>
    <s v="Q3"/>
    <s v="C18826"/>
    <x v="0"/>
    <n v="3"/>
    <n v="481.1"/>
    <s v="664 Main St"/>
    <x v="2"/>
    <x v="2"/>
    <s v="TRK12530495"/>
    <n v="3"/>
    <x v="1"/>
    <x v="3"/>
    <n v="1443.3"/>
    <n v="1443.3"/>
  </r>
  <r>
    <x v="825"/>
    <x v="18"/>
    <x v="2"/>
    <s v="Q1"/>
    <s v="C23899"/>
    <x v="6"/>
    <n v="5"/>
    <n v="271.69"/>
    <s v="543 Main St"/>
    <x v="1"/>
    <x v="2"/>
    <s v="TRK88914760"/>
    <n v="7"/>
    <x v="1"/>
    <x v="0"/>
    <n v="1358.45"/>
    <n v="1358.45"/>
  </r>
  <r>
    <x v="826"/>
    <x v="177"/>
    <x v="2"/>
    <s v="Q1"/>
    <s v="C43249"/>
    <x v="4"/>
    <n v="3"/>
    <n v="463.81"/>
    <s v="283 Main St"/>
    <x v="1"/>
    <x v="2"/>
    <s v="TRK32469820"/>
    <n v="8"/>
    <x v="3"/>
    <x v="2"/>
    <n v="1391.43"/>
    <n v="1391.43"/>
  </r>
  <r>
    <x v="827"/>
    <x v="551"/>
    <x v="0"/>
    <s v="Q2"/>
    <s v="C95856"/>
    <x v="2"/>
    <n v="2"/>
    <n v="639.88"/>
    <s v="432 Main St"/>
    <x v="4"/>
    <x v="3"/>
    <s v="TRK58829625"/>
    <n v="5"/>
    <x v="3"/>
    <x v="0"/>
    <n v="1279.76"/>
    <n v="1279.76"/>
  </r>
  <r>
    <x v="828"/>
    <x v="25"/>
    <x v="1"/>
    <s v="Q3"/>
    <s v="C86266"/>
    <x v="3"/>
    <n v="4"/>
    <n v="404.58"/>
    <s v="510 Main St"/>
    <x v="4"/>
    <x v="0"/>
    <s v="TRK64576020"/>
    <n v="5"/>
    <x v="1"/>
    <x v="0"/>
    <n v="1618.32"/>
    <n v="1618.32"/>
  </r>
  <r>
    <x v="829"/>
    <x v="483"/>
    <x v="0"/>
    <s v="Q1"/>
    <s v="C39551"/>
    <x v="0"/>
    <n v="1"/>
    <n v="76.930000000000007"/>
    <s v="685 Main St"/>
    <x v="0"/>
    <x v="3"/>
    <s v="TRK68358007"/>
    <n v="6"/>
    <x v="3"/>
    <x v="0"/>
    <n v="76.930000000000007"/>
    <n v="76.930000000000007"/>
  </r>
  <r>
    <x v="830"/>
    <x v="218"/>
    <x v="1"/>
    <s v="Q4"/>
    <s v="C90310"/>
    <x v="2"/>
    <n v="4"/>
    <n v="190.64"/>
    <s v="853 Main St"/>
    <x v="4"/>
    <x v="3"/>
    <s v="TRK70028457"/>
    <n v="5"/>
    <x v="0"/>
    <x v="2"/>
    <n v="762.56"/>
    <n v="762.56"/>
  </r>
  <r>
    <x v="831"/>
    <x v="552"/>
    <x v="0"/>
    <s v="Q4"/>
    <s v="C20124"/>
    <x v="4"/>
    <n v="2"/>
    <n v="88.73"/>
    <s v="140 Main St"/>
    <x v="1"/>
    <x v="4"/>
    <s v="TRK61346824"/>
    <n v="5"/>
    <x v="2"/>
    <x v="4"/>
    <n v="177.46"/>
    <n v="177.46"/>
  </r>
  <r>
    <x v="832"/>
    <x v="553"/>
    <x v="1"/>
    <s v="Q1"/>
    <s v="C63372"/>
    <x v="3"/>
    <n v="5"/>
    <n v="485.71"/>
    <s v="903 Main St"/>
    <x v="1"/>
    <x v="4"/>
    <s v="TRK14661811"/>
    <n v="10"/>
    <x v="0"/>
    <x v="1"/>
    <n v="2428.5500000000002"/>
    <n v="2428.5500000000002"/>
  </r>
  <r>
    <x v="833"/>
    <x v="387"/>
    <x v="2"/>
    <s v="Q1"/>
    <s v="C90595"/>
    <x v="1"/>
    <n v="5"/>
    <n v="78.290000000000006"/>
    <s v="508 Main St"/>
    <x v="2"/>
    <x v="0"/>
    <s v="TRK96573803"/>
    <n v="5"/>
    <x v="3"/>
    <x v="1"/>
    <n v="391.45"/>
    <n v="391.45"/>
  </r>
  <r>
    <x v="834"/>
    <x v="166"/>
    <x v="1"/>
    <s v="Q2"/>
    <s v="C98483"/>
    <x v="4"/>
    <n v="5"/>
    <n v="22.14"/>
    <s v="456 Main St"/>
    <x v="4"/>
    <x v="2"/>
    <s v="TRK22084320"/>
    <n v="10"/>
    <x v="2"/>
    <x v="0"/>
    <n v="110.7"/>
    <n v="110.7"/>
  </r>
  <r>
    <x v="835"/>
    <x v="290"/>
    <x v="1"/>
    <s v="Q1"/>
    <s v="C16429"/>
    <x v="6"/>
    <n v="1"/>
    <n v="679.65"/>
    <s v="390 Main St"/>
    <x v="0"/>
    <x v="0"/>
    <s v="TRK73888013"/>
    <n v="6"/>
    <x v="1"/>
    <x v="4"/>
    <n v="679.65"/>
    <n v="679.65"/>
  </r>
  <r>
    <x v="836"/>
    <x v="488"/>
    <x v="0"/>
    <s v="Q1"/>
    <s v="C31810"/>
    <x v="1"/>
    <n v="1"/>
    <n v="178.44"/>
    <s v="328 Main St"/>
    <x v="2"/>
    <x v="1"/>
    <s v="TRK58725886"/>
    <n v="2"/>
    <x v="1"/>
    <x v="4"/>
    <n v="178.44"/>
    <n v="178.44"/>
  </r>
  <r>
    <x v="837"/>
    <x v="554"/>
    <x v="2"/>
    <s v="Q2"/>
    <s v="C88029"/>
    <x v="3"/>
    <n v="5"/>
    <n v="655.55"/>
    <s v="282 Main St"/>
    <x v="1"/>
    <x v="3"/>
    <s v="TRK59701278"/>
    <n v="5"/>
    <x v="2"/>
    <x v="2"/>
    <n v="3277.75"/>
    <n v="3277.75"/>
  </r>
  <r>
    <x v="838"/>
    <x v="166"/>
    <x v="1"/>
    <s v="Q2"/>
    <s v="C57798"/>
    <x v="6"/>
    <n v="4"/>
    <n v="577.08000000000004"/>
    <s v="384 Main St"/>
    <x v="1"/>
    <x v="4"/>
    <s v="TRK68797566"/>
    <n v="8"/>
    <x v="2"/>
    <x v="3"/>
    <n v="2308.3200000000002"/>
    <n v="2308.3200000000002"/>
  </r>
  <r>
    <x v="839"/>
    <x v="318"/>
    <x v="0"/>
    <s v="Q3"/>
    <s v="C82858"/>
    <x v="3"/>
    <n v="3"/>
    <n v="197.97"/>
    <s v="551 Main St"/>
    <x v="1"/>
    <x v="1"/>
    <s v="TRK90618490"/>
    <n v="5"/>
    <x v="2"/>
    <x v="4"/>
    <n v="593.91"/>
    <n v="593.91"/>
  </r>
  <r>
    <x v="840"/>
    <x v="555"/>
    <x v="1"/>
    <s v="Q1"/>
    <s v="C60699"/>
    <x v="3"/>
    <n v="3"/>
    <n v="411.95"/>
    <s v="672 Main St"/>
    <x v="2"/>
    <x v="3"/>
    <s v="TRK88660574"/>
    <n v="7"/>
    <x v="1"/>
    <x v="1"/>
    <n v="1235.8499999999999"/>
    <n v="1235.8499999999999"/>
  </r>
  <r>
    <x v="841"/>
    <x v="556"/>
    <x v="1"/>
    <s v="Q3"/>
    <s v="C94658"/>
    <x v="4"/>
    <n v="2"/>
    <n v="443.22"/>
    <s v="742 Main St"/>
    <x v="2"/>
    <x v="3"/>
    <s v="TRK51732528"/>
    <n v="5"/>
    <x v="2"/>
    <x v="3"/>
    <n v="886.44"/>
    <n v="886.44"/>
  </r>
  <r>
    <x v="842"/>
    <x v="106"/>
    <x v="2"/>
    <s v="Q2"/>
    <s v="C78305"/>
    <x v="5"/>
    <n v="3"/>
    <n v="364.14"/>
    <s v="396 Main St"/>
    <x v="1"/>
    <x v="4"/>
    <s v="TRK88312618"/>
    <n v="7"/>
    <x v="3"/>
    <x v="1"/>
    <n v="1092.42"/>
    <n v="1092.42"/>
  </r>
  <r>
    <x v="843"/>
    <x v="557"/>
    <x v="2"/>
    <s v="Q2"/>
    <s v="C43538"/>
    <x v="6"/>
    <n v="3"/>
    <n v="430.06"/>
    <s v="534 Main St"/>
    <x v="3"/>
    <x v="1"/>
    <s v="TRK20961563"/>
    <n v="8"/>
    <x v="1"/>
    <x v="0"/>
    <n v="1290.18"/>
    <n v="1290.18"/>
  </r>
  <r>
    <x v="844"/>
    <x v="558"/>
    <x v="1"/>
    <s v="Q4"/>
    <s v="C47486"/>
    <x v="3"/>
    <n v="1"/>
    <n v="320.92"/>
    <s v="883 Main St"/>
    <x v="1"/>
    <x v="2"/>
    <s v="TRK75984759"/>
    <n v="5"/>
    <x v="1"/>
    <x v="3"/>
    <n v="320.92"/>
    <n v="320.92"/>
  </r>
  <r>
    <x v="845"/>
    <x v="345"/>
    <x v="0"/>
    <s v="Q4"/>
    <s v="C24212"/>
    <x v="1"/>
    <n v="3"/>
    <n v="107.36"/>
    <s v="808 Main St"/>
    <x v="3"/>
    <x v="3"/>
    <s v="TRK68894675"/>
    <n v="5"/>
    <x v="1"/>
    <x v="4"/>
    <n v="322.08"/>
    <n v="322.08"/>
  </r>
  <r>
    <x v="846"/>
    <x v="502"/>
    <x v="1"/>
    <s v="Q3"/>
    <s v="C24765"/>
    <x v="6"/>
    <n v="2"/>
    <n v="359.86"/>
    <s v="646 Main St"/>
    <x v="0"/>
    <x v="1"/>
    <s v="TRK43977698"/>
    <n v="4"/>
    <x v="2"/>
    <x v="1"/>
    <n v="719.72"/>
    <n v="719.72"/>
  </r>
  <r>
    <x v="847"/>
    <x v="249"/>
    <x v="1"/>
    <s v="Q4"/>
    <s v="C48176"/>
    <x v="4"/>
    <n v="4"/>
    <n v="434.23"/>
    <s v="670 Main St"/>
    <x v="1"/>
    <x v="0"/>
    <s v="TRK90560300"/>
    <n v="8"/>
    <x v="1"/>
    <x v="2"/>
    <n v="1736.92"/>
    <n v="1736.92"/>
  </r>
  <r>
    <x v="848"/>
    <x v="107"/>
    <x v="0"/>
    <s v="Q1"/>
    <s v="C54675"/>
    <x v="3"/>
    <n v="2"/>
    <n v="645.85"/>
    <s v="634 Main St"/>
    <x v="1"/>
    <x v="0"/>
    <s v="TRK18049633"/>
    <n v="5"/>
    <x v="2"/>
    <x v="1"/>
    <n v="1291.7"/>
    <n v="1291.7"/>
  </r>
  <r>
    <x v="849"/>
    <x v="559"/>
    <x v="2"/>
    <s v="Q2"/>
    <s v="C16675"/>
    <x v="4"/>
    <n v="4"/>
    <n v="214.35"/>
    <s v="664 Main St"/>
    <x v="0"/>
    <x v="1"/>
    <s v="TRK12756945"/>
    <n v="7"/>
    <x v="3"/>
    <x v="1"/>
    <n v="857.4"/>
    <n v="857.4"/>
  </r>
  <r>
    <x v="850"/>
    <x v="560"/>
    <x v="2"/>
    <s v="Q2"/>
    <s v="C38557"/>
    <x v="0"/>
    <n v="3"/>
    <n v="638.5"/>
    <s v="890 Main St"/>
    <x v="0"/>
    <x v="1"/>
    <s v="TRK14832238"/>
    <n v="4"/>
    <x v="1"/>
    <x v="0"/>
    <n v="1915.5"/>
    <n v="1915.5"/>
  </r>
  <r>
    <x v="851"/>
    <x v="427"/>
    <x v="0"/>
    <s v="Q4"/>
    <s v="C80183"/>
    <x v="5"/>
    <n v="1"/>
    <n v="365.57"/>
    <s v="146 Main St"/>
    <x v="1"/>
    <x v="1"/>
    <s v="TRK20814598"/>
    <n v="5"/>
    <x v="0"/>
    <x v="2"/>
    <n v="365.57"/>
    <n v="365.57"/>
  </r>
  <r>
    <x v="852"/>
    <x v="101"/>
    <x v="1"/>
    <s v="Q4"/>
    <s v="C39530"/>
    <x v="6"/>
    <n v="3"/>
    <n v="568.04999999999995"/>
    <s v="618 Main St"/>
    <x v="3"/>
    <x v="4"/>
    <s v="TRK69000497"/>
    <n v="6"/>
    <x v="0"/>
    <x v="4"/>
    <n v="1704.15"/>
    <n v="1704.15"/>
  </r>
  <r>
    <x v="853"/>
    <x v="504"/>
    <x v="0"/>
    <s v="Q4"/>
    <s v="C10002"/>
    <x v="4"/>
    <n v="3"/>
    <n v="490.01"/>
    <s v="894 Main St"/>
    <x v="4"/>
    <x v="2"/>
    <s v="TRK94641152"/>
    <n v="4"/>
    <x v="0"/>
    <x v="3"/>
    <n v="1470.03"/>
    <n v="1470.03"/>
  </r>
  <r>
    <x v="854"/>
    <x v="399"/>
    <x v="2"/>
    <s v="Q2"/>
    <s v="C56938"/>
    <x v="5"/>
    <n v="3"/>
    <n v="372.6"/>
    <s v="356 Main St"/>
    <x v="2"/>
    <x v="3"/>
    <s v="TRK67735987"/>
    <n v="7"/>
    <x v="3"/>
    <x v="1"/>
    <n v="1117.8"/>
    <n v="1117.8"/>
  </r>
  <r>
    <x v="855"/>
    <x v="551"/>
    <x v="0"/>
    <s v="Q2"/>
    <s v="C41331"/>
    <x v="0"/>
    <n v="5"/>
    <n v="240.61"/>
    <s v="785 Main St"/>
    <x v="2"/>
    <x v="0"/>
    <s v="TRK94198179"/>
    <n v="10"/>
    <x v="1"/>
    <x v="2"/>
    <n v="1203.05"/>
    <n v="1203.05"/>
  </r>
  <r>
    <x v="856"/>
    <x v="561"/>
    <x v="1"/>
    <s v="Q2"/>
    <s v="C94698"/>
    <x v="1"/>
    <n v="1"/>
    <n v="586.62"/>
    <s v="871 Main St"/>
    <x v="0"/>
    <x v="0"/>
    <s v="TRK95768773"/>
    <n v="5"/>
    <x v="2"/>
    <x v="3"/>
    <n v="586.62"/>
    <n v="586.62"/>
  </r>
  <r>
    <x v="857"/>
    <x v="416"/>
    <x v="1"/>
    <s v="Q1"/>
    <s v="C56506"/>
    <x v="1"/>
    <n v="3"/>
    <n v="257.83999999999997"/>
    <s v="185 Main St"/>
    <x v="1"/>
    <x v="3"/>
    <s v="TRK86808324"/>
    <n v="4"/>
    <x v="2"/>
    <x v="0"/>
    <n v="773.52"/>
    <n v="773.52"/>
  </r>
  <r>
    <x v="858"/>
    <x v="38"/>
    <x v="0"/>
    <s v="Q3"/>
    <s v="C22167"/>
    <x v="2"/>
    <n v="5"/>
    <n v="435.66"/>
    <s v="891 Main St"/>
    <x v="1"/>
    <x v="4"/>
    <s v="TRK70269748"/>
    <n v="9"/>
    <x v="2"/>
    <x v="3"/>
    <n v="2178.3000000000002"/>
    <n v="2178.3000000000002"/>
  </r>
  <r>
    <x v="859"/>
    <x v="562"/>
    <x v="1"/>
    <s v="Q3"/>
    <s v="C11127"/>
    <x v="3"/>
    <n v="5"/>
    <n v="261.33"/>
    <s v="154 Main St"/>
    <x v="2"/>
    <x v="2"/>
    <s v="TRK73285507"/>
    <n v="5"/>
    <x v="0"/>
    <x v="1"/>
    <n v="1306.6500000000001"/>
    <n v="1306.6500000000001"/>
  </r>
  <r>
    <x v="860"/>
    <x v="514"/>
    <x v="1"/>
    <s v="Q1"/>
    <s v="C69542"/>
    <x v="4"/>
    <n v="1"/>
    <n v="422.54"/>
    <s v="876 Main St"/>
    <x v="4"/>
    <x v="3"/>
    <s v="TRK20746505"/>
    <n v="1"/>
    <x v="0"/>
    <x v="4"/>
    <n v="422.54"/>
    <n v="422.54"/>
  </r>
  <r>
    <x v="861"/>
    <x v="111"/>
    <x v="0"/>
    <s v="Q1"/>
    <s v="C93276"/>
    <x v="6"/>
    <n v="5"/>
    <n v="330.45"/>
    <s v="230 Main St"/>
    <x v="3"/>
    <x v="0"/>
    <s v="TRK44165913"/>
    <n v="10"/>
    <x v="1"/>
    <x v="4"/>
    <n v="1652.25"/>
    <n v="1652.25"/>
  </r>
  <r>
    <x v="862"/>
    <x v="278"/>
    <x v="0"/>
    <s v="Q4"/>
    <s v="C37969"/>
    <x v="6"/>
    <n v="3"/>
    <n v="120.82"/>
    <s v="799 Main St"/>
    <x v="2"/>
    <x v="0"/>
    <s v="TRK69852386"/>
    <n v="5"/>
    <x v="0"/>
    <x v="1"/>
    <n v="362.46"/>
    <n v="362.46"/>
  </r>
  <r>
    <x v="863"/>
    <x v="199"/>
    <x v="1"/>
    <s v="Q2"/>
    <s v="C98276"/>
    <x v="1"/>
    <n v="1"/>
    <n v="14.06"/>
    <s v="471 Main St"/>
    <x v="2"/>
    <x v="4"/>
    <s v="TRK74207282"/>
    <n v="5"/>
    <x v="0"/>
    <x v="1"/>
    <n v="14.06"/>
    <n v="14.06"/>
  </r>
  <r>
    <x v="864"/>
    <x v="71"/>
    <x v="0"/>
    <s v="Q2"/>
    <s v="C14240"/>
    <x v="6"/>
    <n v="1"/>
    <n v="491.11"/>
    <s v="592 Main St"/>
    <x v="2"/>
    <x v="3"/>
    <s v="TRK58095246"/>
    <n v="4"/>
    <x v="0"/>
    <x v="3"/>
    <n v="491.11"/>
    <n v="491.11"/>
  </r>
  <r>
    <x v="865"/>
    <x v="563"/>
    <x v="0"/>
    <s v="Q2"/>
    <s v="C72241"/>
    <x v="0"/>
    <n v="4"/>
    <n v="677.37"/>
    <s v="156 Main St"/>
    <x v="4"/>
    <x v="4"/>
    <s v="TRK76270481"/>
    <n v="8"/>
    <x v="0"/>
    <x v="4"/>
    <n v="2709.48"/>
    <n v="2709.48"/>
  </r>
  <r>
    <x v="866"/>
    <x v="503"/>
    <x v="1"/>
    <s v="Q3"/>
    <s v="C39664"/>
    <x v="6"/>
    <n v="5"/>
    <n v="189.25"/>
    <s v="693 Main St"/>
    <x v="0"/>
    <x v="1"/>
    <s v="TRK39917741"/>
    <n v="10"/>
    <x v="3"/>
    <x v="2"/>
    <n v="946.25"/>
    <n v="946.25"/>
  </r>
  <r>
    <x v="867"/>
    <x v="564"/>
    <x v="1"/>
    <s v="Q2"/>
    <s v="C53252"/>
    <x v="4"/>
    <n v="4"/>
    <n v="142.58000000000001"/>
    <s v="351 Main St"/>
    <x v="4"/>
    <x v="3"/>
    <s v="TRK65831261"/>
    <n v="4"/>
    <x v="1"/>
    <x v="3"/>
    <n v="570.32000000000005"/>
    <n v="570.32000000000005"/>
  </r>
  <r>
    <x v="868"/>
    <x v="310"/>
    <x v="1"/>
    <s v="Q2"/>
    <s v="C70452"/>
    <x v="0"/>
    <n v="4"/>
    <n v="316.32"/>
    <s v="309 Main St"/>
    <x v="0"/>
    <x v="3"/>
    <s v="TRK42985882"/>
    <n v="7"/>
    <x v="2"/>
    <x v="3"/>
    <n v="1265.28"/>
    <n v="1265.28"/>
  </r>
  <r>
    <x v="869"/>
    <x v="537"/>
    <x v="1"/>
    <s v="Q1"/>
    <s v="C29905"/>
    <x v="6"/>
    <n v="2"/>
    <n v="533.95000000000005"/>
    <s v="790 Main St"/>
    <x v="1"/>
    <x v="3"/>
    <s v="TRK16788127"/>
    <n v="5"/>
    <x v="3"/>
    <x v="4"/>
    <n v="1067.9000000000001"/>
    <n v="1067.9000000000001"/>
  </r>
  <r>
    <x v="870"/>
    <x v="565"/>
    <x v="2"/>
    <s v="Q2"/>
    <s v="C78725"/>
    <x v="1"/>
    <n v="4"/>
    <n v="470.09"/>
    <s v="541 Main St"/>
    <x v="0"/>
    <x v="3"/>
    <s v="TRK72001139"/>
    <n v="4"/>
    <x v="1"/>
    <x v="4"/>
    <n v="1880.36"/>
    <n v="1880.36"/>
  </r>
  <r>
    <x v="871"/>
    <x v="149"/>
    <x v="1"/>
    <s v="Q2"/>
    <s v="C93768"/>
    <x v="2"/>
    <n v="3"/>
    <n v="324.3"/>
    <s v="720 Main St"/>
    <x v="0"/>
    <x v="4"/>
    <s v="TRK22024707"/>
    <n v="8"/>
    <x v="1"/>
    <x v="2"/>
    <n v="972.9"/>
    <n v="972.9"/>
  </r>
  <r>
    <x v="872"/>
    <x v="566"/>
    <x v="0"/>
    <s v="Q3"/>
    <s v="C59169"/>
    <x v="3"/>
    <n v="4"/>
    <n v="629.34"/>
    <s v="172 Main St"/>
    <x v="4"/>
    <x v="0"/>
    <s v="TRK90883858"/>
    <n v="7"/>
    <x v="2"/>
    <x v="2"/>
    <n v="2517.36"/>
    <n v="2517.36"/>
  </r>
  <r>
    <x v="873"/>
    <x v="258"/>
    <x v="1"/>
    <s v="Q2"/>
    <s v="C53488"/>
    <x v="6"/>
    <n v="3"/>
    <n v="136.84"/>
    <s v="448 Main St"/>
    <x v="4"/>
    <x v="3"/>
    <s v="TRK27365050"/>
    <n v="3"/>
    <x v="0"/>
    <x v="3"/>
    <n v="410.52"/>
    <n v="410.52"/>
  </r>
  <r>
    <x v="874"/>
    <x v="150"/>
    <x v="0"/>
    <s v="Q4"/>
    <s v="C92180"/>
    <x v="3"/>
    <n v="2"/>
    <n v="488.9"/>
    <s v="632 Main St"/>
    <x v="4"/>
    <x v="3"/>
    <s v="TRK93315929"/>
    <n v="7"/>
    <x v="1"/>
    <x v="3"/>
    <n v="977.8"/>
    <n v="977.8"/>
  </r>
  <r>
    <x v="875"/>
    <x v="567"/>
    <x v="0"/>
    <s v="Q3"/>
    <s v="C25918"/>
    <x v="5"/>
    <n v="5"/>
    <n v="133.38999999999999"/>
    <s v="203 Main St"/>
    <x v="2"/>
    <x v="3"/>
    <s v="TRK66473392"/>
    <n v="6"/>
    <x v="1"/>
    <x v="1"/>
    <n v="666.95"/>
    <n v="666.95"/>
  </r>
  <r>
    <x v="876"/>
    <x v="410"/>
    <x v="1"/>
    <s v="Q2"/>
    <s v="C90363"/>
    <x v="3"/>
    <n v="5"/>
    <n v="608.91"/>
    <s v="200 Main St"/>
    <x v="3"/>
    <x v="4"/>
    <s v="TRK21534173"/>
    <n v="6"/>
    <x v="0"/>
    <x v="4"/>
    <n v="3044.55"/>
    <n v="3044.55"/>
  </r>
  <r>
    <x v="877"/>
    <x v="568"/>
    <x v="1"/>
    <s v="Q3"/>
    <s v="C43867"/>
    <x v="2"/>
    <n v="1"/>
    <n v="524.05999999999995"/>
    <s v="269 Main St"/>
    <x v="0"/>
    <x v="4"/>
    <s v="TRK97319127"/>
    <n v="3"/>
    <x v="1"/>
    <x v="2"/>
    <n v="524.05999999999995"/>
    <n v="524.05999999999995"/>
  </r>
  <r>
    <x v="878"/>
    <x v="569"/>
    <x v="0"/>
    <s v="Q2"/>
    <s v="C73873"/>
    <x v="6"/>
    <n v="2"/>
    <n v="330.69"/>
    <s v="393 Main St"/>
    <x v="1"/>
    <x v="1"/>
    <s v="TRK56423132"/>
    <n v="5"/>
    <x v="0"/>
    <x v="4"/>
    <n v="661.38"/>
    <n v="661.38"/>
  </r>
  <r>
    <x v="879"/>
    <x v="428"/>
    <x v="2"/>
    <s v="Q2"/>
    <s v="C56622"/>
    <x v="1"/>
    <n v="2"/>
    <n v="547.66999999999996"/>
    <s v="932 Main St"/>
    <x v="3"/>
    <x v="0"/>
    <s v="TRK86373987"/>
    <n v="3"/>
    <x v="2"/>
    <x v="0"/>
    <n v="1095.3399999999999"/>
    <n v="1095.3399999999999"/>
  </r>
  <r>
    <x v="880"/>
    <x v="495"/>
    <x v="2"/>
    <s v="Q1"/>
    <s v="C85074"/>
    <x v="5"/>
    <n v="4"/>
    <n v="233.7"/>
    <s v="506 Main St"/>
    <x v="1"/>
    <x v="0"/>
    <s v="TRK63133878"/>
    <n v="8"/>
    <x v="0"/>
    <x v="3"/>
    <n v="934.8"/>
    <n v="934.8"/>
  </r>
  <r>
    <x v="881"/>
    <x v="570"/>
    <x v="0"/>
    <s v="Q1"/>
    <s v="C59579"/>
    <x v="2"/>
    <n v="2"/>
    <n v="448.85"/>
    <s v="386 Main St"/>
    <x v="2"/>
    <x v="4"/>
    <s v="TRK48000034"/>
    <n v="6"/>
    <x v="2"/>
    <x v="0"/>
    <n v="897.7"/>
    <n v="897.7"/>
  </r>
  <r>
    <x v="882"/>
    <x v="164"/>
    <x v="2"/>
    <s v="Q2"/>
    <s v="C43335"/>
    <x v="1"/>
    <n v="2"/>
    <n v="274.12"/>
    <s v="533 Main St"/>
    <x v="4"/>
    <x v="3"/>
    <s v="TRK91848650"/>
    <n v="6"/>
    <x v="1"/>
    <x v="1"/>
    <n v="548.24"/>
    <n v="548.24"/>
  </r>
  <r>
    <x v="883"/>
    <x v="557"/>
    <x v="2"/>
    <s v="Q2"/>
    <s v="C43595"/>
    <x v="4"/>
    <n v="5"/>
    <n v="561.48"/>
    <s v="451 Main St"/>
    <x v="1"/>
    <x v="3"/>
    <s v="TRK25317348"/>
    <n v="9"/>
    <x v="1"/>
    <x v="3"/>
    <n v="2807.4"/>
    <n v="2807.4"/>
  </r>
  <r>
    <x v="884"/>
    <x v="571"/>
    <x v="1"/>
    <s v="Q2"/>
    <s v="C71471"/>
    <x v="3"/>
    <n v="1"/>
    <n v="595.54"/>
    <s v="817 Main St"/>
    <x v="3"/>
    <x v="0"/>
    <s v="TRK52137079"/>
    <n v="4"/>
    <x v="2"/>
    <x v="0"/>
    <n v="595.54"/>
    <n v="595.54"/>
  </r>
  <r>
    <x v="885"/>
    <x v="158"/>
    <x v="1"/>
    <s v="Q2"/>
    <s v="C61090"/>
    <x v="5"/>
    <n v="4"/>
    <n v="515.59"/>
    <s v="387 Main St"/>
    <x v="2"/>
    <x v="0"/>
    <s v="TRK36388962"/>
    <n v="7"/>
    <x v="1"/>
    <x v="4"/>
    <n v="2062.36"/>
    <n v="2062.36"/>
  </r>
  <r>
    <x v="886"/>
    <x v="385"/>
    <x v="0"/>
    <s v="Q4"/>
    <s v="C29620"/>
    <x v="1"/>
    <n v="1"/>
    <n v="460.13"/>
    <s v="792 Main St"/>
    <x v="2"/>
    <x v="2"/>
    <s v="TRK22046456"/>
    <n v="1"/>
    <x v="2"/>
    <x v="4"/>
    <n v="460.13"/>
    <n v="460.13"/>
  </r>
  <r>
    <x v="887"/>
    <x v="36"/>
    <x v="1"/>
    <s v="Q4"/>
    <s v="C67932"/>
    <x v="3"/>
    <n v="3"/>
    <n v="171.66"/>
    <s v="857 Main St"/>
    <x v="0"/>
    <x v="3"/>
    <s v="TRK88547534"/>
    <n v="7"/>
    <x v="2"/>
    <x v="4"/>
    <n v="514.98"/>
    <n v="514.98"/>
  </r>
  <r>
    <x v="888"/>
    <x v="572"/>
    <x v="1"/>
    <s v="Q3"/>
    <s v="C14427"/>
    <x v="5"/>
    <n v="2"/>
    <n v="266.95"/>
    <s v="833 Main St"/>
    <x v="2"/>
    <x v="4"/>
    <s v="TRK58024529"/>
    <n v="3"/>
    <x v="2"/>
    <x v="0"/>
    <n v="533.9"/>
    <n v="533.9"/>
  </r>
  <r>
    <x v="889"/>
    <x v="245"/>
    <x v="1"/>
    <s v="Q4"/>
    <s v="C36725"/>
    <x v="0"/>
    <n v="5"/>
    <n v="650.72"/>
    <s v="350 Main St"/>
    <x v="2"/>
    <x v="1"/>
    <s v="TRK16808790"/>
    <n v="8"/>
    <x v="3"/>
    <x v="2"/>
    <n v="3253.6"/>
    <n v="3253.6"/>
  </r>
  <r>
    <x v="890"/>
    <x v="178"/>
    <x v="0"/>
    <s v="Q3"/>
    <s v="C51921"/>
    <x v="5"/>
    <n v="3"/>
    <n v="439.53"/>
    <s v="943 Main St"/>
    <x v="0"/>
    <x v="4"/>
    <s v="TRK85741716"/>
    <n v="5"/>
    <x v="2"/>
    <x v="4"/>
    <n v="1318.59"/>
    <n v="1318.59"/>
  </r>
  <r>
    <x v="891"/>
    <x v="433"/>
    <x v="0"/>
    <s v="Q4"/>
    <s v="C36534"/>
    <x v="0"/>
    <n v="3"/>
    <n v="654.54"/>
    <s v="918 Main St"/>
    <x v="4"/>
    <x v="2"/>
    <s v="TRK38952138"/>
    <n v="7"/>
    <x v="0"/>
    <x v="1"/>
    <n v="1963.62"/>
    <n v="1963.62"/>
  </r>
  <r>
    <x v="892"/>
    <x v="573"/>
    <x v="1"/>
    <s v="Q2"/>
    <s v="C72043"/>
    <x v="6"/>
    <n v="1"/>
    <n v="394.53"/>
    <s v="480 Main St"/>
    <x v="4"/>
    <x v="0"/>
    <s v="TRK40896408"/>
    <n v="2"/>
    <x v="1"/>
    <x v="1"/>
    <n v="394.53"/>
    <n v="394.53"/>
  </r>
  <r>
    <x v="893"/>
    <x v="574"/>
    <x v="0"/>
    <s v="Q1"/>
    <s v="C99533"/>
    <x v="0"/>
    <n v="1"/>
    <n v="678.01"/>
    <s v="696 Main St"/>
    <x v="4"/>
    <x v="4"/>
    <s v="TRK55701253"/>
    <n v="4"/>
    <x v="1"/>
    <x v="1"/>
    <n v="678.01"/>
    <n v="678.01"/>
  </r>
  <r>
    <x v="894"/>
    <x v="575"/>
    <x v="0"/>
    <s v="Q2"/>
    <s v="C90852"/>
    <x v="2"/>
    <n v="3"/>
    <n v="575.01"/>
    <s v="852 Main St"/>
    <x v="1"/>
    <x v="1"/>
    <s v="TRK37551831"/>
    <n v="8"/>
    <x v="3"/>
    <x v="0"/>
    <n v="1725.03"/>
    <n v="1725.03"/>
  </r>
  <r>
    <x v="895"/>
    <x v="576"/>
    <x v="0"/>
    <s v="Q4"/>
    <s v="C81882"/>
    <x v="3"/>
    <n v="3"/>
    <n v="154.63999999999999"/>
    <s v="832 Main St"/>
    <x v="0"/>
    <x v="4"/>
    <s v="TRK62371264"/>
    <n v="6"/>
    <x v="3"/>
    <x v="3"/>
    <n v="463.92"/>
    <n v="463.92"/>
  </r>
  <r>
    <x v="896"/>
    <x v="266"/>
    <x v="1"/>
    <s v="Q4"/>
    <s v="C85466"/>
    <x v="6"/>
    <n v="3"/>
    <n v="147.29"/>
    <s v="102 Main St"/>
    <x v="3"/>
    <x v="0"/>
    <s v="TRK66764177"/>
    <n v="3"/>
    <x v="1"/>
    <x v="4"/>
    <n v="441.87"/>
    <n v="441.87"/>
  </r>
  <r>
    <x v="897"/>
    <x v="459"/>
    <x v="1"/>
    <s v="Q3"/>
    <s v="C87995"/>
    <x v="5"/>
    <n v="4"/>
    <n v="481.48"/>
    <s v="358 Main St"/>
    <x v="3"/>
    <x v="3"/>
    <s v="TRK38730545"/>
    <n v="5"/>
    <x v="0"/>
    <x v="0"/>
    <n v="1925.92"/>
    <n v="1925.92"/>
  </r>
  <r>
    <x v="898"/>
    <x v="376"/>
    <x v="2"/>
    <s v="Q1"/>
    <s v="C44619"/>
    <x v="0"/>
    <n v="3"/>
    <n v="158.37"/>
    <s v="742 Main St"/>
    <x v="4"/>
    <x v="0"/>
    <s v="TRK66662528"/>
    <n v="6"/>
    <x v="2"/>
    <x v="1"/>
    <n v="475.11"/>
    <n v="475.11"/>
  </r>
  <r>
    <x v="899"/>
    <x v="577"/>
    <x v="2"/>
    <s v="Q2"/>
    <s v="C99904"/>
    <x v="4"/>
    <n v="2"/>
    <n v="323.37"/>
    <s v="552 Main St"/>
    <x v="1"/>
    <x v="4"/>
    <s v="TRK83843411"/>
    <n v="3"/>
    <x v="0"/>
    <x v="0"/>
    <n v="646.74"/>
    <n v="646.74"/>
  </r>
  <r>
    <x v="900"/>
    <x v="492"/>
    <x v="2"/>
    <s v="Q1"/>
    <s v="C52342"/>
    <x v="5"/>
    <n v="5"/>
    <n v="73.83"/>
    <s v="991 Main St"/>
    <x v="0"/>
    <x v="4"/>
    <s v="TRK67342586"/>
    <n v="9"/>
    <x v="2"/>
    <x v="0"/>
    <n v="369.15"/>
    <n v="369.15"/>
  </r>
  <r>
    <x v="901"/>
    <x v="578"/>
    <x v="1"/>
    <s v="Q2"/>
    <s v="C44277"/>
    <x v="2"/>
    <n v="1"/>
    <n v="458.63"/>
    <s v="839 Main St"/>
    <x v="0"/>
    <x v="2"/>
    <s v="TRK79321479"/>
    <n v="4"/>
    <x v="3"/>
    <x v="1"/>
    <n v="458.63"/>
    <n v="458.63"/>
  </r>
  <r>
    <x v="902"/>
    <x v="579"/>
    <x v="1"/>
    <s v="Q3"/>
    <s v="C61162"/>
    <x v="0"/>
    <n v="4"/>
    <n v="180.25"/>
    <s v="813 Main St"/>
    <x v="0"/>
    <x v="1"/>
    <s v="TRK76712124"/>
    <n v="7"/>
    <x v="2"/>
    <x v="3"/>
    <n v="721"/>
    <n v="721"/>
  </r>
  <r>
    <x v="903"/>
    <x v="209"/>
    <x v="0"/>
    <s v="Q2"/>
    <s v="C80868"/>
    <x v="0"/>
    <n v="3"/>
    <n v="473.49"/>
    <s v="205 Main St"/>
    <x v="2"/>
    <x v="4"/>
    <s v="TRK56186636"/>
    <n v="7"/>
    <x v="2"/>
    <x v="2"/>
    <n v="1420.47"/>
    <n v="1420.47"/>
  </r>
  <r>
    <x v="904"/>
    <x v="580"/>
    <x v="2"/>
    <s v="Q1"/>
    <s v="C16693"/>
    <x v="0"/>
    <n v="4"/>
    <n v="237.43"/>
    <s v="262 Main St"/>
    <x v="4"/>
    <x v="1"/>
    <s v="TRK41146508"/>
    <n v="8"/>
    <x v="3"/>
    <x v="1"/>
    <n v="949.72"/>
    <n v="949.72"/>
  </r>
  <r>
    <x v="905"/>
    <x v="581"/>
    <x v="0"/>
    <s v="Q4"/>
    <s v="C67818"/>
    <x v="5"/>
    <n v="1"/>
    <n v="442.39"/>
    <s v="101 Main St"/>
    <x v="3"/>
    <x v="4"/>
    <s v="TRK81978113"/>
    <n v="6"/>
    <x v="1"/>
    <x v="3"/>
    <n v="442.39"/>
    <n v="442.39"/>
  </r>
  <r>
    <x v="906"/>
    <x v="459"/>
    <x v="1"/>
    <s v="Q3"/>
    <s v="C49938"/>
    <x v="0"/>
    <n v="1"/>
    <n v="62.12"/>
    <s v="141 Main St"/>
    <x v="4"/>
    <x v="2"/>
    <s v="TRK80175572"/>
    <n v="2"/>
    <x v="2"/>
    <x v="2"/>
    <n v="62.12"/>
    <n v="62.12"/>
  </r>
  <r>
    <x v="907"/>
    <x v="548"/>
    <x v="1"/>
    <s v="Q3"/>
    <s v="C90898"/>
    <x v="6"/>
    <n v="5"/>
    <n v="298.39"/>
    <s v="583 Main St"/>
    <x v="3"/>
    <x v="1"/>
    <s v="TRK52935170"/>
    <n v="7"/>
    <x v="3"/>
    <x v="1"/>
    <n v="1491.95"/>
    <n v="1491.95"/>
  </r>
  <r>
    <x v="908"/>
    <x v="138"/>
    <x v="2"/>
    <s v="Q2"/>
    <s v="C35117"/>
    <x v="6"/>
    <n v="2"/>
    <n v="697.93"/>
    <s v="332 Main St"/>
    <x v="2"/>
    <x v="1"/>
    <s v="TRK27155709"/>
    <n v="2"/>
    <x v="0"/>
    <x v="4"/>
    <n v="1395.86"/>
    <n v="1395.86"/>
  </r>
  <r>
    <x v="909"/>
    <x v="582"/>
    <x v="1"/>
    <s v="Q2"/>
    <s v="C60203"/>
    <x v="2"/>
    <n v="2"/>
    <n v="291.85000000000002"/>
    <s v="569 Main St"/>
    <x v="4"/>
    <x v="0"/>
    <s v="TRK76525279"/>
    <n v="5"/>
    <x v="1"/>
    <x v="0"/>
    <n v="583.70000000000005"/>
    <n v="583.70000000000005"/>
  </r>
  <r>
    <x v="910"/>
    <x v="583"/>
    <x v="1"/>
    <s v="Q2"/>
    <s v="C36174"/>
    <x v="4"/>
    <n v="3"/>
    <n v="308.98"/>
    <s v="348 Main St"/>
    <x v="4"/>
    <x v="3"/>
    <s v="TRK26397548"/>
    <n v="3"/>
    <x v="0"/>
    <x v="0"/>
    <n v="926.94"/>
    <n v="926.94"/>
  </r>
  <r>
    <x v="911"/>
    <x v="584"/>
    <x v="1"/>
    <s v="Q3"/>
    <s v="C80872"/>
    <x v="6"/>
    <n v="5"/>
    <n v="396.86"/>
    <s v="593 Main St"/>
    <x v="4"/>
    <x v="1"/>
    <s v="TRK43967487"/>
    <n v="9"/>
    <x v="0"/>
    <x v="0"/>
    <n v="1984.3"/>
    <n v="1984.3"/>
  </r>
  <r>
    <x v="912"/>
    <x v="585"/>
    <x v="1"/>
    <s v="Q1"/>
    <s v="C67604"/>
    <x v="6"/>
    <n v="2"/>
    <n v="139.69"/>
    <s v="318 Main St"/>
    <x v="1"/>
    <x v="2"/>
    <s v="TRK85545920"/>
    <n v="7"/>
    <x v="1"/>
    <x v="2"/>
    <n v="279.38"/>
    <n v="279.38"/>
  </r>
  <r>
    <x v="913"/>
    <x v="223"/>
    <x v="0"/>
    <s v="Q1"/>
    <s v="C45599"/>
    <x v="4"/>
    <n v="5"/>
    <n v="475.95"/>
    <s v="505 Main St"/>
    <x v="2"/>
    <x v="2"/>
    <s v="TRK62277685"/>
    <n v="8"/>
    <x v="3"/>
    <x v="3"/>
    <n v="2379.75"/>
    <n v="2379.75"/>
  </r>
  <r>
    <x v="914"/>
    <x v="441"/>
    <x v="2"/>
    <s v="Q1"/>
    <s v="C70352"/>
    <x v="6"/>
    <n v="1"/>
    <n v="626.6"/>
    <s v="955 Main St"/>
    <x v="3"/>
    <x v="2"/>
    <s v="TRK51589589"/>
    <n v="4"/>
    <x v="3"/>
    <x v="3"/>
    <n v="626.6"/>
    <n v="626.6"/>
  </r>
  <r>
    <x v="915"/>
    <x v="586"/>
    <x v="1"/>
    <s v="Q1"/>
    <s v="C20643"/>
    <x v="5"/>
    <n v="4"/>
    <n v="502.99"/>
    <s v="939 Main St"/>
    <x v="0"/>
    <x v="0"/>
    <s v="TRK30736692"/>
    <n v="4"/>
    <x v="3"/>
    <x v="1"/>
    <n v="2011.96"/>
    <n v="2011.96"/>
  </r>
  <r>
    <x v="916"/>
    <x v="587"/>
    <x v="1"/>
    <s v="Q2"/>
    <s v="C35669"/>
    <x v="4"/>
    <n v="5"/>
    <n v="578.83000000000004"/>
    <s v="165 Main St"/>
    <x v="4"/>
    <x v="2"/>
    <s v="TRK13928455"/>
    <n v="6"/>
    <x v="2"/>
    <x v="1"/>
    <n v="2894.15"/>
    <n v="2894.15"/>
  </r>
  <r>
    <x v="917"/>
    <x v="588"/>
    <x v="2"/>
    <s v="Q1"/>
    <s v="C65524"/>
    <x v="5"/>
    <n v="5"/>
    <n v="383.82"/>
    <s v="836 Main St"/>
    <x v="2"/>
    <x v="2"/>
    <s v="TRK19315310"/>
    <n v="7"/>
    <x v="1"/>
    <x v="4"/>
    <n v="1919.1"/>
    <n v="1919.1"/>
  </r>
  <r>
    <x v="918"/>
    <x v="53"/>
    <x v="2"/>
    <s v="Q2"/>
    <s v="C74359"/>
    <x v="5"/>
    <n v="5"/>
    <n v="368.25"/>
    <s v="706 Main St"/>
    <x v="1"/>
    <x v="3"/>
    <s v="TRK18250450"/>
    <n v="5"/>
    <x v="2"/>
    <x v="0"/>
    <n v="1841.25"/>
    <n v="1841.25"/>
  </r>
  <r>
    <x v="919"/>
    <x v="492"/>
    <x v="2"/>
    <s v="Q1"/>
    <s v="C92086"/>
    <x v="4"/>
    <n v="2"/>
    <n v="374.6"/>
    <s v="187 Main St"/>
    <x v="1"/>
    <x v="0"/>
    <s v="TRK23357668"/>
    <n v="3"/>
    <x v="1"/>
    <x v="1"/>
    <n v="749.2"/>
    <n v="749.2"/>
  </r>
  <r>
    <x v="920"/>
    <x v="495"/>
    <x v="2"/>
    <s v="Q1"/>
    <s v="C26137"/>
    <x v="2"/>
    <n v="2"/>
    <n v="428.09"/>
    <s v="978 Main St"/>
    <x v="2"/>
    <x v="2"/>
    <s v="TRK98110407"/>
    <n v="6"/>
    <x v="2"/>
    <x v="0"/>
    <n v="856.18"/>
    <n v="856.18"/>
  </r>
  <r>
    <x v="921"/>
    <x v="528"/>
    <x v="0"/>
    <s v="Q3"/>
    <s v="C90573"/>
    <x v="2"/>
    <n v="1"/>
    <n v="438.93"/>
    <s v="144 Main St"/>
    <x v="3"/>
    <x v="1"/>
    <s v="TRK90075720"/>
    <n v="3"/>
    <x v="0"/>
    <x v="1"/>
    <n v="438.93"/>
    <n v="438.93"/>
  </r>
  <r>
    <x v="922"/>
    <x v="589"/>
    <x v="1"/>
    <s v="Q2"/>
    <s v="C81857"/>
    <x v="6"/>
    <n v="2"/>
    <n v="563.82000000000005"/>
    <s v="487 Main St"/>
    <x v="2"/>
    <x v="4"/>
    <s v="TRK79737732"/>
    <n v="3"/>
    <x v="2"/>
    <x v="0"/>
    <n v="1127.6400000000001"/>
    <n v="1127.6400000000001"/>
  </r>
  <r>
    <x v="923"/>
    <x v="91"/>
    <x v="0"/>
    <s v="Q1"/>
    <s v="C91582"/>
    <x v="4"/>
    <n v="3"/>
    <n v="649.92999999999995"/>
    <s v="836 Main St"/>
    <x v="2"/>
    <x v="4"/>
    <s v="TRK99938245"/>
    <n v="7"/>
    <x v="3"/>
    <x v="3"/>
    <n v="1949.79"/>
    <n v="1949.79"/>
  </r>
  <r>
    <x v="924"/>
    <x v="29"/>
    <x v="2"/>
    <s v="Q1"/>
    <s v="C81319"/>
    <x v="4"/>
    <n v="5"/>
    <n v="268.43"/>
    <s v="991 Main St"/>
    <x v="4"/>
    <x v="2"/>
    <s v="TRK55330558"/>
    <n v="5"/>
    <x v="0"/>
    <x v="2"/>
    <n v="1342.15"/>
    <n v="1342.15"/>
  </r>
  <r>
    <x v="925"/>
    <x v="590"/>
    <x v="1"/>
    <s v="Q4"/>
    <s v="C78500"/>
    <x v="0"/>
    <n v="5"/>
    <n v="502.47"/>
    <s v="304 Main St"/>
    <x v="1"/>
    <x v="0"/>
    <s v="TRK97460884"/>
    <n v="10"/>
    <x v="3"/>
    <x v="2"/>
    <n v="2512.35"/>
    <n v="2512.35"/>
  </r>
  <r>
    <x v="926"/>
    <x v="591"/>
    <x v="1"/>
    <s v="Q1"/>
    <s v="C67533"/>
    <x v="6"/>
    <n v="1"/>
    <n v="26.95"/>
    <s v="672 Main St"/>
    <x v="4"/>
    <x v="3"/>
    <s v="TRK14566395"/>
    <n v="1"/>
    <x v="3"/>
    <x v="2"/>
    <n v="26.95"/>
    <n v="26.95"/>
  </r>
  <r>
    <x v="927"/>
    <x v="592"/>
    <x v="0"/>
    <s v="Q1"/>
    <s v="C35566"/>
    <x v="5"/>
    <n v="4"/>
    <n v="64.69"/>
    <s v="638 Main St"/>
    <x v="0"/>
    <x v="0"/>
    <s v="TRK10003020"/>
    <n v="7"/>
    <x v="3"/>
    <x v="4"/>
    <n v="258.76"/>
    <n v="258.76"/>
  </r>
  <r>
    <x v="928"/>
    <x v="593"/>
    <x v="1"/>
    <s v="Q2"/>
    <s v="C77166"/>
    <x v="5"/>
    <n v="3"/>
    <n v="247.11"/>
    <s v="821 Main St"/>
    <x v="0"/>
    <x v="2"/>
    <s v="TRK18896595"/>
    <n v="3"/>
    <x v="3"/>
    <x v="1"/>
    <n v="741.33"/>
    <n v="741.33"/>
  </r>
  <r>
    <x v="929"/>
    <x v="594"/>
    <x v="1"/>
    <s v="Q4"/>
    <s v="C67936"/>
    <x v="2"/>
    <n v="2"/>
    <n v="536.25"/>
    <s v="553 Main St"/>
    <x v="0"/>
    <x v="4"/>
    <s v="TRK71803414"/>
    <n v="3"/>
    <x v="2"/>
    <x v="2"/>
    <n v="1072.5"/>
    <n v="1072.5"/>
  </r>
  <r>
    <x v="930"/>
    <x v="393"/>
    <x v="1"/>
    <s v="Q4"/>
    <s v="C59554"/>
    <x v="1"/>
    <n v="2"/>
    <n v="456.04"/>
    <s v="382 Main St"/>
    <x v="0"/>
    <x v="2"/>
    <s v="TRK28182447"/>
    <n v="4"/>
    <x v="1"/>
    <x v="2"/>
    <n v="912.08"/>
    <n v="912.08"/>
  </r>
  <r>
    <x v="931"/>
    <x v="543"/>
    <x v="1"/>
    <s v="Q1"/>
    <s v="C14005"/>
    <x v="4"/>
    <n v="2"/>
    <n v="40.229999999999997"/>
    <s v="623 Main St"/>
    <x v="2"/>
    <x v="1"/>
    <s v="TRK87567926"/>
    <n v="4"/>
    <x v="0"/>
    <x v="4"/>
    <n v="80.459999999999994"/>
    <n v="80.459999999999994"/>
  </r>
  <r>
    <x v="932"/>
    <x v="465"/>
    <x v="0"/>
    <s v="Q1"/>
    <s v="C26118"/>
    <x v="5"/>
    <n v="2"/>
    <n v="72.39"/>
    <s v="168 Main St"/>
    <x v="1"/>
    <x v="3"/>
    <s v="TRK15334251"/>
    <n v="7"/>
    <x v="3"/>
    <x v="0"/>
    <n v="144.78"/>
    <n v="144.78"/>
  </r>
  <r>
    <x v="933"/>
    <x v="595"/>
    <x v="0"/>
    <s v="Q1"/>
    <s v="C59685"/>
    <x v="0"/>
    <n v="2"/>
    <n v="394.16"/>
    <s v="255 Main St"/>
    <x v="1"/>
    <x v="0"/>
    <s v="TRK43718093"/>
    <n v="2"/>
    <x v="2"/>
    <x v="1"/>
    <n v="788.32"/>
    <n v="788.32"/>
  </r>
  <r>
    <x v="934"/>
    <x v="565"/>
    <x v="2"/>
    <s v="Q2"/>
    <s v="C40304"/>
    <x v="5"/>
    <n v="4"/>
    <n v="119.84"/>
    <s v="692 Main St"/>
    <x v="3"/>
    <x v="0"/>
    <s v="TRK85790948"/>
    <n v="8"/>
    <x v="1"/>
    <x v="1"/>
    <n v="479.36"/>
    <n v="479.36"/>
  </r>
  <r>
    <x v="935"/>
    <x v="254"/>
    <x v="0"/>
    <s v="Q4"/>
    <s v="C39593"/>
    <x v="1"/>
    <n v="3"/>
    <n v="692.71"/>
    <s v="398 Main St"/>
    <x v="2"/>
    <x v="3"/>
    <s v="TRK62405253"/>
    <n v="3"/>
    <x v="1"/>
    <x v="0"/>
    <n v="2078.13"/>
    <n v="2078.13"/>
  </r>
  <r>
    <x v="936"/>
    <x v="596"/>
    <x v="1"/>
    <s v="Q1"/>
    <s v="C50612"/>
    <x v="3"/>
    <n v="4"/>
    <n v="56.66"/>
    <s v="737 Main St"/>
    <x v="1"/>
    <x v="3"/>
    <s v="TRK44140968"/>
    <n v="4"/>
    <x v="0"/>
    <x v="0"/>
    <n v="226.64"/>
    <n v="226.64"/>
  </r>
  <r>
    <x v="937"/>
    <x v="462"/>
    <x v="1"/>
    <s v="Q1"/>
    <s v="C39791"/>
    <x v="3"/>
    <n v="2"/>
    <n v="298.52999999999997"/>
    <s v="536 Main St"/>
    <x v="0"/>
    <x v="1"/>
    <s v="TRK46221436"/>
    <n v="5"/>
    <x v="3"/>
    <x v="2"/>
    <n v="597.05999999999995"/>
    <n v="597.05999999999995"/>
  </r>
  <r>
    <x v="938"/>
    <x v="219"/>
    <x v="0"/>
    <s v="Q3"/>
    <s v="C39017"/>
    <x v="3"/>
    <n v="3"/>
    <n v="331.46"/>
    <s v="696 Main St"/>
    <x v="2"/>
    <x v="1"/>
    <s v="TRK91155214"/>
    <n v="6"/>
    <x v="3"/>
    <x v="1"/>
    <n v="994.38"/>
    <n v="994.38"/>
  </r>
  <r>
    <x v="939"/>
    <x v="597"/>
    <x v="2"/>
    <s v="Q2"/>
    <s v="C48510"/>
    <x v="5"/>
    <n v="2"/>
    <n v="521.4"/>
    <s v="212 Main St"/>
    <x v="4"/>
    <x v="3"/>
    <s v="TRK53152886"/>
    <n v="7"/>
    <x v="0"/>
    <x v="0"/>
    <n v="1042.8"/>
    <n v="1042.8"/>
  </r>
  <r>
    <x v="940"/>
    <x v="14"/>
    <x v="0"/>
    <s v="Q1"/>
    <s v="C74003"/>
    <x v="4"/>
    <n v="4"/>
    <n v="305.32"/>
    <s v="679 Main St"/>
    <x v="1"/>
    <x v="1"/>
    <s v="TRK91525779"/>
    <n v="4"/>
    <x v="0"/>
    <x v="4"/>
    <n v="1221.28"/>
    <n v="1221.28"/>
  </r>
  <r>
    <x v="941"/>
    <x v="15"/>
    <x v="0"/>
    <s v="Q3"/>
    <s v="C91155"/>
    <x v="4"/>
    <n v="5"/>
    <n v="111.7"/>
    <s v="599 Main St"/>
    <x v="2"/>
    <x v="1"/>
    <s v="TRK82162952"/>
    <n v="9"/>
    <x v="1"/>
    <x v="2"/>
    <n v="558.5"/>
    <n v="558.5"/>
  </r>
  <r>
    <x v="942"/>
    <x v="372"/>
    <x v="0"/>
    <s v="Q3"/>
    <s v="C17591"/>
    <x v="2"/>
    <n v="1"/>
    <n v="479.76"/>
    <s v="882 Main St"/>
    <x v="2"/>
    <x v="4"/>
    <s v="TRK56070470"/>
    <n v="1"/>
    <x v="2"/>
    <x v="2"/>
    <n v="479.76"/>
    <n v="479.76"/>
  </r>
  <r>
    <x v="943"/>
    <x v="140"/>
    <x v="0"/>
    <s v="Q4"/>
    <s v="C43330"/>
    <x v="0"/>
    <n v="3"/>
    <n v="193.49"/>
    <s v="355 Main St"/>
    <x v="3"/>
    <x v="2"/>
    <s v="TRK71594838"/>
    <n v="6"/>
    <x v="1"/>
    <x v="3"/>
    <n v="580.47"/>
    <n v="580.47"/>
  </r>
  <r>
    <x v="944"/>
    <x v="393"/>
    <x v="1"/>
    <s v="Q4"/>
    <s v="C32687"/>
    <x v="5"/>
    <n v="2"/>
    <n v="426.22"/>
    <s v="448 Main St"/>
    <x v="1"/>
    <x v="3"/>
    <s v="TRK98284560"/>
    <n v="7"/>
    <x v="3"/>
    <x v="4"/>
    <n v="852.44"/>
    <n v="852.44"/>
  </r>
  <r>
    <x v="945"/>
    <x v="38"/>
    <x v="0"/>
    <s v="Q3"/>
    <s v="C79722"/>
    <x v="2"/>
    <n v="5"/>
    <n v="276.44"/>
    <s v="619 Main St"/>
    <x v="3"/>
    <x v="0"/>
    <s v="TRK29976438"/>
    <n v="10"/>
    <x v="1"/>
    <x v="1"/>
    <n v="1382.2"/>
    <n v="1382.2"/>
  </r>
  <r>
    <x v="946"/>
    <x v="598"/>
    <x v="1"/>
    <s v="Q2"/>
    <s v="C65021"/>
    <x v="1"/>
    <n v="2"/>
    <n v="404.96"/>
    <s v="546 Main St"/>
    <x v="4"/>
    <x v="0"/>
    <s v="TRK20626179"/>
    <n v="4"/>
    <x v="0"/>
    <x v="2"/>
    <n v="809.92"/>
    <n v="809.92"/>
  </r>
  <r>
    <x v="947"/>
    <x v="599"/>
    <x v="0"/>
    <s v="Q3"/>
    <s v="C85520"/>
    <x v="1"/>
    <n v="4"/>
    <n v="465.66"/>
    <s v="119 Main St"/>
    <x v="1"/>
    <x v="2"/>
    <s v="TRK65994177"/>
    <n v="9"/>
    <x v="1"/>
    <x v="2"/>
    <n v="1862.64"/>
    <n v="1862.64"/>
  </r>
  <r>
    <x v="948"/>
    <x v="587"/>
    <x v="1"/>
    <s v="Q2"/>
    <s v="C94569"/>
    <x v="1"/>
    <n v="2"/>
    <n v="594.07000000000005"/>
    <s v="739 Main St"/>
    <x v="3"/>
    <x v="1"/>
    <s v="TRK79269291"/>
    <n v="2"/>
    <x v="2"/>
    <x v="4"/>
    <n v="1188.1400000000001"/>
    <n v="1188.1400000000001"/>
  </r>
  <r>
    <x v="949"/>
    <x v="576"/>
    <x v="0"/>
    <s v="Q4"/>
    <s v="C55778"/>
    <x v="6"/>
    <n v="5"/>
    <n v="110.38"/>
    <s v="319 Main St"/>
    <x v="4"/>
    <x v="4"/>
    <s v="TRK93797108"/>
    <n v="10"/>
    <x v="2"/>
    <x v="1"/>
    <n v="551.9"/>
    <n v="551.9"/>
  </r>
  <r>
    <x v="950"/>
    <x v="583"/>
    <x v="1"/>
    <s v="Q2"/>
    <s v="C19722"/>
    <x v="5"/>
    <n v="1"/>
    <n v="596.24"/>
    <s v="891 Main St"/>
    <x v="2"/>
    <x v="2"/>
    <s v="TRK78094361"/>
    <n v="4"/>
    <x v="1"/>
    <x v="0"/>
    <n v="596.24"/>
    <n v="596.24"/>
  </r>
  <r>
    <x v="951"/>
    <x v="319"/>
    <x v="1"/>
    <s v="Q3"/>
    <s v="C74928"/>
    <x v="4"/>
    <n v="2"/>
    <n v="306.24"/>
    <s v="589 Main St"/>
    <x v="1"/>
    <x v="2"/>
    <s v="TRK39845914"/>
    <n v="4"/>
    <x v="1"/>
    <x v="2"/>
    <n v="612.48"/>
    <n v="612.48"/>
  </r>
  <r>
    <x v="952"/>
    <x v="37"/>
    <x v="2"/>
    <s v="Q1"/>
    <s v="C49111"/>
    <x v="0"/>
    <n v="3"/>
    <n v="503.39"/>
    <s v="225 Main St"/>
    <x v="1"/>
    <x v="4"/>
    <s v="TRK45303393"/>
    <n v="5"/>
    <x v="2"/>
    <x v="3"/>
    <n v="1510.17"/>
    <n v="1510.17"/>
  </r>
  <r>
    <x v="953"/>
    <x v="600"/>
    <x v="0"/>
    <s v="Q1"/>
    <s v="C43721"/>
    <x v="1"/>
    <n v="1"/>
    <n v="131.61000000000001"/>
    <s v="971 Main St"/>
    <x v="4"/>
    <x v="0"/>
    <s v="TRK89392104"/>
    <n v="2"/>
    <x v="1"/>
    <x v="3"/>
    <n v="131.61000000000001"/>
    <n v="131.61000000000001"/>
  </r>
  <r>
    <x v="954"/>
    <x v="601"/>
    <x v="1"/>
    <s v="Q4"/>
    <s v="C68609"/>
    <x v="3"/>
    <n v="3"/>
    <n v="443.44"/>
    <s v="240 Main St"/>
    <x v="3"/>
    <x v="0"/>
    <s v="TRK58273778"/>
    <n v="3"/>
    <x v="1"/>
    <x v="4"/>
    <n v="1330.32"/>
    <n v="1330.32"/>
  </r>
  <r>
    <x v="955"/>
    <x v="19"/>
    <x v="0"/>
    <s v="Q1"/>
    <s v="C82068"/>
    <x v="3"/>
    <n v="1"/>
    <n v="408.13"/>
    <s v="164 Main St"/>
    <x v="3"/>
    <x v="0"/>
    <s v="TRK25779180"/>
    <n v="3"/>
    <x v="3"/>
    <x v="0"/>
    <n v="408.13"/>
    <n v="408.13"/>
  </r>
  <r>
    <x v="956"/>
    <x v="166"/>
    <x v="1"/>
    <s v="Q2"/>
    <s v="C21191"/>
    <x v="1"/>
    <n v="2"/>
    <n v="160.97999999999999"/>
    <s v="381 Main St"/>
    <x v="0"/>
    <x v="3"/>
    <s v="TRK86246309"/>
    <n v="3"/>
    <x v="0"/>
    <x v="1"/>
    <n v="321.95999999999998"/>
    <n v="321.95999999999998"/>
  </r>
  <r>
    <x v="957"/>
    <x v="602"/>
    <x v="0"/>
    <s v="Q1"/>
    <s v="C73575"/>
    <x v="0"/>
    <n v="5"/>
    <n v="643.89"/>
    <s v="851 Main St"/>
    <x v="4"/>
    <x v="2"/>
    <s v="TRK23387612"/>
    <n v="8"/>
    <x v="3"/>
    <x v="3"/>
    <n v="3219.45"/>
    <n v="3219.45"/>
  </r>
  <r>
    <x v="958"/>
    <x v="603"/>
    <x v="0"/>
    <s v="Q2"/>
    <s v="C82685"/>
    <x v="6"/>
    <n v="3"/>
    <n v="158.66"/>
    <s v="537 Main St"/>
    <x v="3"/>
    <x v="3"/>
    <s v="TRK70184320"/>
    <n v="7"/>
    <x v="3"/>
    <x v="2"/>
    <n v="475.98"/>
    <n v="475.98"/>
  </r>
  <r>
    <x v="959"/>
    <x v="604"/>
    <x v="1"/>
    <s v="Q2"/>
    <s v="C73996"/>
    <x v="2"/>
    <n v="2"/>
    <n v="143.82"/>
    <s v="856 Main St"/>
    <x v="2"/>
    <x v="2"/>
    <s v="TRK74579570"/>
    <n v="6"/>
    <x v="0"/>
    <x v="0"/>
    <n v="287.64"/>
    <n v="287.64"/>
  </r>
  <r>
    <x v="960"/>
    <x v="66"/>
    <x v="0"/>
    <s v="Q4"/>
    <s v="C87687"/>
    <x v="5"/>
    <n v="3"/>
    <n v="379.07"/>
    <s v="312 Main St"/>
    <x v="3"/>
    <x v="4"/>
    <s v="TRK60383805"/>
    <n v="3"/>
    <x v="3"/>
    <x v="4"/>
    <n v="1137.21"/>
    <n v="1137.21"/>
  </r>
  <r>
    <x v="961"/>
    <x v="435"/>
    <x v="1"/>
    <s v="Q4"/>
    <s v="C55464"/>
    <x v="1"/>
    <n v="1"/>
    <n v="601.36"/>
    <s v="532 Main St"/>
    <x v="1"/>
    <x v="0"/>
    <s v="TRK81178598"/>
    <n v="1"/>
    <x v="2"/>
    <x v="3"/>
    <n v="601.36"/>
    <n v="601.36"/>
  </r>
  <r>
    <x v="962"/>
    <x v="605"/>
    <x v="1"/>
    <s v="Q3"/>
    <s v="C12459"/>
    <x v="1"/>
    <n v="2"/>
    <n v="142.08000000000001"/>
    <s v="838 Main St"/>
    <x v="3"/>
    <x v="3"/>
    <s v="TRK30674085"/>
    <n v="4"/>
    <x v="0"/>
    <x v="1"/>
    <n v="284.16000000000003"/>
    <n v="284.16000000000003"/>
  </r>
  <r>
    <x v="963"/>
    <x v="606"/>
    <x v="1"/>
    <s v="Q1"/>
    <s v="C88075"/>
    <x v="3"/>
    <n v="5"/>
    <n v="530.34"/>
    <s v="970 Main St"/>
    <x v="1"/>
    <x v="0"/>
    <s v="TRK42832976"/>
    <n v="9"/>
    <x v="1"/>
    <x v="4"/>
    <n v="2651.7"/>
    <n v="2651.7"/>
  </r>
  <r>
    <x v="964"/>
    <x v="38"/>
    <x v="0"/>
    <s v="Q3"/>
    <s v="C18583"/>
    <x v="1"/>
    <n v="5"/>
    <n v="364.42"/>
    <s v="778 Main St"/>
    <x v="2"/>
    <x v="1"/>
    <s v="TRK43084595"/>
    <n v="10"/>
    <x v="0"/>
    <x v="1"/>
    <n v="1822.1"/>
    <n v="1822.1"/>
  </r>
  <r>
    <x v="965"/>
    <x v="607"/>
    <x v="2"/>
    <s v="Q2"/>
    <s v="C70412"/>
    <x v="5"/>
    <n v="4"/>
    <n v="578.28"/>
    <s v="791 Main St"/>
    <x v="3"/>
    <x v="1"/>
    <s v="TRK22192783"/>
    <n v="5"/>
    <x v="1"/>
    <x v="2"/>
    <n v="2313.12"/>
    <n v="2313.12"/>
  </r>
  <r>
    <x v="966"/>
    <x v="608"/>
    <x v="2"/>
    <s v="Q2"/>
    <s v="C58503"/>
    <x v="0"/>
    <n v="5"/>
    <n v="280.52"/>
    <s v="290 Main St"/>
    <x v="2"/>
    <x v="1"/>
    <s v="TRK12981657"/>
    <n v="7"/>
    <x v="3"/>
    <x v="3"/>
    <n v="1402.6"/>
    <n v="1402.6"/>
  </r>
  <r>
    <x v="967"/>
    <x v="138"/>
    <x v="2"/>
    <s v="Q2"/>
    <s v="C52879"/>
    <x v="2"/>
    <n v="5"/>
    <n v="638.91999999999996"/>
    <s v="502 Main St"/>
    <x v="2"/>
    <x v="2"/>
    <s v="TRK67403284"/>
    <n v="5"/>
    <x v="1"/>
    <x v="4"/>
    <n v="3194.6"/>
    <n v="3194.6"/>
  </r>
  <r>
    <x v="968"/>
    <x v="458"/>
    <x v="1"/>
    <s v="Q1"/>
    <s v="C67870"/>
    <x v="0"/>
    <n v="4"/>
    <n v="412.2"/>
    <s v="664 Main St"/>
    <x v="2"/>
    <x v="0"/>
    <s v="TRK72602178"/>
    <n v="6"/>
    <x v="3"/>
    <x v="1"/>
    <n v="1648.8"/>
    <n v="1648.8"/>
  </r>
  <r>
    <x v="969"/>
    <x v="85"/>
    <x v="2"/>
    <s v="Q2"/>
    <s v="C19439"/>
    <x v="6"/>
    <n v="1"/>
    <n v="440.34"/>
    <s v="675 Main St"/>
    <x v="3"/>
    <x v="0"/>
    <s v="TRK25383993"/>
    <n v="2"/>
    <x v="3"/>
    <x v="3"/>
    <n v="440.34"/>
    <n v="440.34"/>
  </r>
  <r>
    <x v="970"/>
    <x v="609"/>
    <x v="1"/>
    <s v="Q3"/>
    <s v="C72664"/>
    <x v="6"/>
    <n v="1"/>
    <n v="627.15"/>
    <s v="241 Main St"/>
    <x v="4"/>
    <x v="3"/>
    <s v="TRK86694331"/>
    <n v="5"/>
    <x v="0"/>
    <x v="0"/>
    <n v="627.15"/>
    <n v="627.15"/>
  </r>
  <r>
    <x v="971"/>
    <x v="582"/>
    <x v="1"/>
    <s v="Q2"/>
    <s v="C32650"/>
    <x v="0"/>
    <n v="2"/>
    <n v="605.26"/>
    <s v="934 Main St"/>
    <x v="4"/>
    <x v="1"/>
    <s v="TRK66648743"/>
    <n v="4"/>
    <x v="3"/>
    <x v="1"/>
    <n v="1210.52"/>
    <n v="1210.52"/>
  </r>
  <r>
    <x v="972"/>
    <x v="410"/>
    <x v="1"/>
    <s v="Q2"/>
    <s v="C66438"/>
    <x v="5"/>
    <n v="1"/>
    <n v="90.27"/>
    <s v="816 Main St"/>
    <x v="4"/>
    <x v="3"/>
    <s v="TRK32035271"/>
    <n v="5"/>
    <x v="0"/>
    <x v="3"/>
    <n v="90.27"/>
    <n v="90.27"/>
  </r>
  <r>
    <x v="973"/>
    <x v="559"/>
    <x v="2"/>
    <s v="Q2"/>
    <s v="C70010"/>
    <x v="6"/>
    <n v="5"/>
    <n v="230.77"/>
    <s v="141 Main St"/>
    <x v="1"/>
    <x v="4"/>
    <s v="TRK50594008"/>
    <n v="10"/>
    <x v="3"/>
    <x v="1"/>
    <n v="1153.8499999999999"/>
    <n v="1153.8499999999999"/>
  </r>
  <r>
    <x v="974"/>
    <x v="610"/>
    <x v="0"/>
    <s v="Q3"/>
    <s v="C30722"/>
    <x v="6"/>
    <n v="5"/>
    <n v="266.77999999999997"/>
    <s v="274 Main St"/>
    <x v="3"/>
    <x v="1"/>
    <s v="TRK52088168"/>
    <n v="5"/>
    <x v="2"/>
    <x v="2"/>
    <n v="1333.9"/>
    <n v="1333.9"/>
  </r>
  <r>
    <x v="975"/>
    <x v="419"/>
    <x v="0"/>
    <s v="Q2"/>
    <s v="C70529"/>
    <x v="6"/>
    <n v="1"/>
    <n v="105.92"/>
    <s v="974 Main St"/>
    <x v="3"/>
    <x v="2"/>
    <s v="TRK82165408"/>
    <n v="6"/>
    <x v="0"/>
    <x v="2"/>
    <n v="105.92"/>
    <n v="105.92"/>
  </r>
  <r>
    <x v="976"/>
    <x v="172"/>
    <x v="1"/>
    <s v="Q2"/>
    <s v="C18984"/>
    <x v="2"/>
    <n v="3"/>
    <n v="589.29999999999995"/>
    <s v="650 Main St"/>
    <x v="2"/>
    <x v="2"/>
    <s v="TRK49298239"/>
    <n v="6"/>
    <x v="3"/>
    <x v="1"/>
    <n v="1767.9"/>
    <n v="1767.9"/>
  </r>
  <r>
    <x v="977"/>
    <x v="423"/>
    <x v="0"/>
    <s v="Q1"/>
    <s v="C85841"/>
    <x v="3"/>
    <n v="4"/>
    <n v="649.47"/>
    <s v="608 Main St"/>
    <x v="4"/>
    <x v="4"/>
    <s v="TRK99820544"/>
    <n v="8"/>
    <x v="0"/>
    <x v="4"/>
    <n v="2597.88"/>
    <n v="2597.88"/>
  </r>
  <r>
    <x v="978"/>
    <x v="611"/>
    <x v="1"/>
    <s v="Q2"/>
    <s v="C41508"/>
    <x v="4"/>
    <n v="4"/>
    <n v="107.49"/>
    <s v="993 Main St"/>
    <x v="4"/>
    <x v="3"/>
    <s v="TRK61047536"/>
    <n v="5"/>
    <x v="2"/>
    <x v="4"/>
    <n v="429.96"/>
    <n v="429.96"/>
  </r>
  <r>
    <x v="979"/>
    <x v="546"/>
    <x v="0"/>
    <s v="Q2"/>
    <s v="C75018"/>
    <x v="0"/>
    <n v="3"/>
    <n v="669.06"/>
    <s v="299 Main St"/>
    <x v="4"/>
    <x v="3"/>
    <s v="TRK51794806"/>
    <n v="7"/>
    <x v="0"/>
    <x v="3"/>
    <n v="2007.18"/>
    <n v="2007.18"/>
  </r>
  <r>
    <x v="980"/>
    <x v="612"/>
    <x v="0"/>
    <s v="Q4"/>
    <s v="C84320"/>
    <x v="3"/>
    <n v="3"/>
    <n v="69.650000000000006"/>
    <s v="107 Main St"/>
    <x v="4"/>
    <x v="3"/>
    <s v="TRK81093218"/>
    <n v="7"/>
    <x v="3"/>
    <x v="0"/>
    <n v="208.95"/>
    <n v="208.95"/>
  </r>
  <r>
    <x v="981"/>
    <x v="371"/>
    <x v="0"/>
    <s v="Q4"/>
    <s v="C12609"/>
    <x v="1"/>
    <n v="4"/>
    <n v="136.83000000000001"/>
    <s v="490 Main St"/>
    <x v="0"/>
    <x v="4"/>
    <s v="TRK56379337"/>
    <n v="8"/>
    <x v="0"/>
    <x v="2"/>
    <n v="547.32000000000005"/>
    <n v="547.32000000000005"/>
  </r>
  <r>
    <x v="982"/>
    <x v="605"/>
    <x v="1"/>
    <s v="Q3"/>
    <s v="C64935"/>
    <x v="0"/>
    <n v="1"/>
    <n v="304.11"/>
    <s v="707 Main St"/>
    <x v="3"/>
    <x v="0"/>
    <s v="TRK42969065"/>
    <n v="2"/>
    <x v="0"/>
    <x v="1"/>
    <n v="304.11"/>
    <n v="304.11"/>
  </r>
  <r>
    <x v="983"/>
    <x v="167"/>
    <x v="1"/>
    <s v="Q4"/>
    <s v="C67528"/>
    <x v="0"/>
    <n v="4"/>
    <n v="296.27999999999997"/>
    <s v="110 Main St"/>
    <x v="3"/>
    <x v="0"/>
    <s v="TRK60865210"/>
    <n v="5"/>
    <x v="0"/>
    <x v="2"/>
    <n v="1185.1199999999999"/>
    <n v="1185.1199999999999"/>
  </r>
  <r>
    <x v="984"/>
    <x v="252"/>
    <x v="2"/>
    <s v="Q1"/>
    <s v="C44176"/>
    <x v="6"/>
    <n v="1"/>
    <n v="77.64"/>
    <s v="706 Main St"/>
    <x v="2"/>
    <x v="0"/>
    <s v="TRK68704764"/>
    <n v="1"/>
    <x v="1"/>
    <x v="3"/>
    <n v="77.64"/>
    <n v="77.64"/>
  </r>
  <r>
    <x v="985"/>
    <x v="351"/>
    <x v="1"/>
    <s v="Q3"/>
    <s v="C92788"/>
    <x v="6"/>
    <n v="1"/>
    <n v="243.71"/>
    <s v="948 Main St"/>
    <x v="3"/>
    <x v="3"/>
    <s v="TRK83835361"/>
    <n v="6"/>
    <x v="0"/>
    <x v="4"/>
    <n v="243.71"/>
    <n v="243.71"/>
  </r>
  <r>
    <x v="986"/>
    <x v="609"/>
    <x v="1"/>
    <s v="Q3"/>
    <s v="C69213"/>
    <x v="5"/>
    <n v="4"/>
    <n v="644.96"/>
    <s v="533 Main St"/>
    <x v="2"/>
    <x v="4"/>
    <s v="TRK67837331"/>
    <n v="7"/>
    <x v="1"/>
    <x v="2"/>
    <n v="2579.84"/>
    <n v="2579.84"/>
  </r>
  <r>
    <x v="987"/>
    <x v="85"/>
    <x v="2"/>
    <s v="Q2"/>
    <s v="C67387"/>
    <x v="1"/>
    <n v="5"/>
    <n v="283.73"/>
    <s v="436 Main St"/>
    <x v="3"/>
    <x v="4"/>
    <s v="TRK54120003"/>
    <n v="8"/>
    <x v="1"/>
    <x v="0"/>
    <n v="1418.65"/>
    <n v="1418.65"/>
  </r>
  <r>
    <x v="988"/>
    <x v="496"/>
    <x v="2"/>
    <s v="Q1"/>
    <s v="C90318"/>
    <x v="6"/>
    <n v="2"/>
    <n v="629.55999999999995"/>
    <s v="818 Main St"/>
    <x v="3"/>
    <x v="1"/>
    <s v="TRK52765043"/>
    <n v="5"/>
    <x v="3"/>
    <x v="0"/>
    <n v="1259.1199999999999"/>
    <n v="1259.1199999999999"/>
  </r>
  <r>
    <x v="989"/>
    <x v="613"/>
    <x v="0"/>
    <s v="Q1"/>
    <s v="C49995"/>
    <x v="5"/>
    <n v="4"/>
    <n v="246.11"/>
    <s v="559 Main St"/>
    <x v="2"/>
    <x v="4"/>
    <s v="TRK33212013"/>
    <n v="4"/>
    <x v="0"/>
    <x v="0"/>
    <n v="984.44"/>
    <n v="984.44"/>
  </r>
  <r>
    <x v="990"/>
    <x v="614"/>
    <x v="0"/>
    <s v="Q4"/>
    <s v="C52313"/>
    <x v="1"/>
    <n v="2"/>
    <n v="418.26"/>
    <s v="913 Main St"/>
    <x v="0"/>
    <x v="4"/>
    <s v="TRK67368559"/>
    <n v="2"/>
    <x v="0"/>
    <x v="4"/>
    <n v="836.52"/>
    <n v="836.52"/>
  </r>
  <r>
    <x v="991"/>
    <x v="593"/>
    <x v="1"/>
    <s v="Q2"/>
    <s v="C10211"/>
    <x v="6"/>
    <n v="5"/>
    <n v="127.18"/>
    <s v="598 Main St"/>
    <x v="0"/>
    <x v="1"/>
    <s v="TRK68938335"/>
    <n v="10"/>
    <x v="1"/>
    <x v="4"/>
    <n v="635.9"/>
    <n v="635.9"/>
  </r>
  <r>
    <x v="992"/>
    <x v="615"/>
    <x v="1"/>
    <s v="Q3"/>
    <s v="C97907"/>
    <x v="4"/>
    <n v="3"/>
    <n v="586.21"/>
    <s v="933 Main St"/>
    <x v="3"/>
    <x v="4"/>
    <s v="TRK89637569"/>
    <n v="4"/>
    <x v="3"/>
    <x v="1"/>
    <n v="1758.63"/>
    <n v="1758.63"/>
  </r>
  <r>
    <x v="993"/>
    <x v="616"/>
    <x v="1"/>
    <s v="Q2"/>
    <s v="C61384"/>
    <x v="0"/>
    <n v="3"/>
    <n v="267.45"/>
    <s v="576 Main St"/>
    <x v="3"/>
    <x v="3"/>
    <s v="TRK33323210"/>
    <n v="5"/>
    <x v="3"/>
    <x v="0"/>
    <n v="802.35"/>
    <n v="802.35"/>
  </r>
  <r>
    <x v="994"/>
    <x v="326"/>
    <x v="1"/>
    <s v="Q2"/>
    <s v="C27613"/>
    <x v="2"/>
    <n v="4"/>
    <n v="615.65"/>
    <s v="971 Main St"/>
    <x v="0"/>
    <x v="3"/>
    <s v="TRK63701318"/>
    <n v="9"/>
    <x v="3"/>
    <x v="4"/>
    <n v="2462.6"/>
    <n v="2462.6"/>
  </r>
  <r>
    <x v="995"/>
    <x v="134"/>
    <x v="0"/>
    <s v="Q4"/>
    <s v="C99271"/>
    <x v="0"/>
    <n v="2"/>
    <n v="113.29"/>
    <s v="959 Main St"/>
    <x v="4"/>
    <x v="4"/>
    <s v="TRK87832736"/>
    <n v="5"/>
    <x v="0"/>
    <x v="3"/>
    <n v="226.58"/>
    <n v="226.58"/>
  </r>
  <r>
    <x v="996"/>
    <x v="578"/>
    <x v="1"/>
    <s v="Q2"/>
    <s v="C28648"/>
    <x v="0"/>
    <n v="4"/>
    <n v="473.86"/>
    <s v="101 Main St"/>
    <x v="0"/>
    <x v="3"/>
    <s v="TRK92240846"/>
    <n v="7"/>
    <x v="0"/>
    <x v="3"/>
    <n v="1895.44"/>
    <n v="1895.44"/>
  </r>
  <r>
    <x v="997"/>
    <x v="110"/>
    <x v="0"/>
    <s v="Q4"/>
    <s v="C26210"/>
    <x v="5"/>
    <n v="3"/>
    <n v="444.75"/>
    <s v="805 Main St"/>
    <x v="4"/>
    <x v="3"/>
    <s v="TRK40616861"/>
    <n v="6"/>
    <x v="0"/>
    <x v="3"/>
    <n v="1334.25"/>
    <n v="1334.25"/>
  </r>
  <r>
    <x v="998"/>
    <x v="213"/>
    <x v="0"/>
    <s v="Q2"/>
    <s v="C90350"/>
    <x v="1"/>
    <n v="2"/>
    <n v="183.67"/>
    <s v="783 Main St"/>
    <x v="0"/>
    <x v="1"/>
    <s v="TRK22824230"/>
    <n v="6"/>
    <x v="0"/>
    <x v="4"/>
    <n v="367.34"/>
    <n v="367.34"/>
  </r>
  <r>
    <x v="999"/>
    <x v="478"/>
    <x v="0"/>
    <s v="Q4"/>
    <s v="C61957"/>
    <x v="4"/>
    <n v="1"/>
    <n v="483.38"/>
    <s v="652 Main St"/>
    <x v="4"/>
    <x v="4"/>
    <s v="TRK43983841"/>
    <n v="6"/>
    <x v="1"/>
    <x v="4"/>
    <n v="483.38"/>
    <n v="483.38"/>
  </r>
  <r>
    <x v="1000"/>
    <x v="617"/>
    <x v="0"/>
    <s v="Q2"/>
    <s v="C90132"/>
    <x v="4"/>
    <n v="5"/>
    <n v="260.93"/>
    <s v="582 Main St"/>
    <x v="1"/>
    <x v="3"/>
    <s v="TRK52664903"/>
    <n v="9"/>
    <x v="0"/>
    <x v="2"/>
    <n v="1304.6500000000001"/>
    <n v="1304.6500000000001"/>
  </r>
  <r>
    <x v="1001"/>
    <x v="618"/>
    <x v="0"/>
    <s v="Q4"/>
    <s v="C31371"/>
    <x v="4"/>
    <n v="2"/>
    <n v="253.68"/>
    <s v="122 Main St"/>
    <x v="3"/>
    <x v="0"/>
    <s v="TRK19554327"/>
    <n v="6"/>
    <x v="2"/>
    <x v="1"/>
    <n v="507.36"/>
    <n v="507.36"/>
  </r>
  <r>
    <x v="1002"/>
    <x v="619"/>
    <x v="2"/>
    <s v="Q2"/>
    <s v="C83911"/>
    <x v="2"/>
    <n v="4"/>
    <n v="699.88"/>
    <s v="944 Main St"/>
    <x v="4"/>
    <x v="4"/>
    <s v="TRK33188106"/>
    <n v="5"/>
    <x v="3"/>
    <x v="1"/>
    <n v="2799.52"/>
    <n v="2799.52"/>
  </r>
  <r>
    <x v="1003"/>
    <x v="348"/>
    <x v="0"/>
    <s v="Q1"/>
    <s v="C84700"/>
    <x v="4"/>
    <n v="5"/>
    <n v="319.97000000000003"/>
    <s v="582 Main St"/>
    <x v="4"/>
    <x v="0"/>
    <s v="TRK14706969"/>
    <n v="7"/>
    <x v="0"/>
    <x v="4"/>
    <n v="1599.85"/>
    <n v="1599.85"/>
  </r>
  <r>
    <x v="1004"/>
    <x v="559"/>
    <x v="2"/>
    <s v="Q2"/>
    <s v="C87529"/>
    <x v="3"/>
    <n v="4"/>
    <n v="246.91"/>
    <s v="296 Main St"/>
    <x v="1"/>
    <x v="4"/>
    <s v="TRK15739505"/>
    <n v="8"/>
    <x v="0"/>
    <x v="1"/>
    <n v="987.64"/>
    <n v="987.64"/>
  </r>
  <r>
    <x v="1005"/>
    <x v="521"/>
    <x v="0"/>
    <s v="Q1"/>
    <s v="C38065"/>
    <x v="4"/>
    <n v="3"/>
    <n v="392.85"/>
    <s v="426 Main St"/>
    <x v="2"/>
    <x v="2"/>
    <s v="TRK11448295"/>
    <n v="6"/>
    <x v="2"/>
    <x v="4"/>
    <n v="1178.55"/>
    <n v="1178.55"/>
  </r>
  <r>
    <x v="1006"/>
    <x v="582"/>
    <x v="1"/>
    <s v="Q2"/>
    <s v="C27435"/>
    <x v="2"/>
    <n v="5"/>
    <n v="420.98"/>
    <s v="860 Main St"/>
    <x v="4"/>
    <x v="3"/>
    <s v="TRK91458233"/>
    <n v="7"/>
    <x v="0"/>
    <x v="3"/>
    <n v="2104.9"/>
    <n v="2104.9"/>
  </r>
  <r>
    <x v="1007"/>
    <x v="591"/>
    <x v="1"/>
    <s v="Q1"/>
    <s v="C46651"/>
    <x v="0"/>
    <n v="2"/>
    <n v="73.260000000000005"/>
    <s v="839 Main St"/>
    <x v="4"/>
    <x v="4"/>
    <s v="TRK60444502"/>
    <n v="4"/>
    <x v="3"/>
    <x v="3"/>
    <n v="146.52000000000001"/>
    <n v="146.52000000000001"/>
  </r>
  <r>
    <x v="1008"/>
    <x v="620"/>
    <x v="0"/>
    <s v="Q1"/>
    <s v="C62557"/>
    <x v="0"/>
    <n v="3"/>
    <n v="410.88"/>
    <s v="257 Main St"/>
    <x v="4"/>
    <x v="3"/>
    <s v="TRK12742366"/>
    <n v="8"/>
    <x v="1"/>
    <x v="0"/>
    <n v="1232.6400000000001"/>
    <n v="1232.6400000000001"/>
  </r>
  <r>
    <x v="1009"/>
    <x v="621"/>
    <x v="0"/>
    <s v="Q3"/>
    <s v="C54494"/>
    <x v="2"/>
    <n v="2"/>
    <n v="176.46"/>
    <s v="696 Main St"/>
    <x v="2"/>
    <x v="3"/>
    <s v="TRK95958645"/>
    <n v="2"/>
    <x v="1"/>
    <x v="2"/>
    <n v="352.92"/>
    <n v="352.92"/>
  </r>
  <r>
    <x v="1010"/>
    <x v="622"/>
    <x v="0"/>
    <s v="Q1"/>
    <s v="C33729"/>
    <x v="0"/>
    <n v="3"/>
    <n v="659.57"/>
    <s v="533 Main St"/>
    <x v="2"/>
    <x v="1"/>
    <s v="TRK35649833"/>
    <n v="6"/>
    <x v="0"/>
    <x v="2"/>
    <n v="1978.71"/>
    <n v="1978.71"/>
  </r>
  <r>
    <x v="1011"/>
    <x v="623"/>
    <x v="1"/>
    <s v="Q4"/>
    <s v="C47823"/>
    <x v="1"/>
    <n v="2"/>
    <n v="478.36"/>
    <s v="654 Main St"/>
    <x v="1"/>
    <x v="0"/>
    <s v="TRK22271097"/>
    <n v="3"/>
    <x v="2"/>
    <x v="4"/>
    <n v="956.72"/>
    <n v="956.72"/>
  </r>
  <r>
    <x v="1012"/>
    <x v="623"/>
    <x v="1"/>
    <s v="Q4"/>
    <s v="C84570"/>
    <x v="4"/>
    <n v="4"/>
    <n v="30.05"/>
    <s v="301 Main St"/>
    <x v="1"/>
    <x v="2"/>
    <s v="TRK12551882"/>
    <n v="6"/>
    <x v="2"/>
    <x v="3"/>
    <n v="120.2"/>
    <n v="120.2"/>
  </r>
  <r>
    <x v="1013"/>
    <x v="624"/>
    <x v="2"/>
    <s v="Q2"/>
    <s v="C91123"/>
    <x v="5"/>
    <n v="4"/>
    <n v="300.56"/>
    <s v="842 Main St"/>
    <x v="4"/>
    <x v="1"/>
    <s v="TRK49568409"/>
    <n v="9"/>
    <x v="1"/>
    <x v="3"/>
    <n v="1202.24"/>
    <n v="1202.24"/>
  </r>
  <r>
    <x v="1014"/>
    <x v="389"/>
    <x v="1"/>
    <s v="Q1"/>
    <s v="C92548"/>
    <x v="2"/>
    <n v="5"/>
    <n v="226.45"/>
    <s v="160 Main St"/>
    <x v="0"/>
    <x v="2"/>
    <s v="TRK21682892"/>
    <n v="6"/>
    <x v="1"/>
    <x v="2"/>
    <n v="1132.25"/>
    <n v="1132.25"/>
  </r>
  <r>
    <x v="1015"/>
    <x v="547"/>
    <x v="1"/>
    <s v="Q1"/>
    <s v="C97454"/>
    <x v="4"/>
    <n v="2"/>
    <n v="349.4"/>
    <s v="892 Main St"/>
    <x v="1"/>
    <x v="0"/>
    <s v="TRK73249329"/>
    <n v="2"/>
    <x v="0"/>
    <x v="0"/>
    <n v="698.8"/>
    <n v="698.8"/>
  </r>
  <r>
    <x v="1016"/>
    <x v="10"/>
    <x v="0"/>
    <s v="Q4"/>
    <s v="C20257"/>
    <x v="2"/>
    <n v="5"/>
    <n v="268.77999999999997"/>
    <s v="669 Main St"/>
    <x v="0"/>
    <x v="3"/>
    <s v="TRK62135578"/>
    <n v="7"/>
    <x v="3"/>
    <x v="2"/>
    <n v="1343.9"/>
    <n v="1343.9"/>
  </r>
  <r>
    <x v="1017"/>
    <x v="625"/>
    <x v="1"/>
    <s v="Q3"/>
    <s v="C51694"/>
    <x v="3"/>
    <n v="2"/>
    <n v="680.85"/>
    <s v="953 Main St"/>
    <x v="3"/>
    <x v="3"/>
    <s v="TRK83122112"/>
    <n v="6"/>
    <x v="1"/>
    <x v="1"/>
    <n v="1361.7"/>
    <n v="1361.7"/>
  </r>
  <r>
    <x v="1018"/>
    <x v="307"/>
    <x v="0"/>
    <s v="Q3"/>
    <s v="C77499"/>
    <x v="5"/>
    <n v="3"/>
    <n v="182.48"/>
    <s v="209 Main St"/>
    <x v="4"/>
    <x v="3"/>
    <s v="TRK20703086"/>
    <n v="3"/>
    <x v="2"/>
    <x v="0"/>
    <n v="547.44000000000005"/>
    <n v="547.44000000000005"/>
  </r>
  <r>
    <x v="1019"/>
    <x v="616"/>
    <x v="1"/>
    <s v="Q2"/>
    <s v="C28386"/>
    <x v="6"/>
    <n v="1"/>
    <n v="277.08999999999997"/>
    <s v="293 Main St"/>
    <x v="4"/>
    <x v="2"/>
    <s v="TRK32954229"/>
    <n v="2"/>
    <x v="0"/>
    <x v="1"/>
    <n v="277.08999999999997"/>
    <n v="277.08999999999997"/>
  </r>
  <r>
    <x v="1020"/>
    <x v="181"/>
    <x v="1"/>
    <s v="Q2"/>
    <s v="C50211"/>
    <x v="2"/>
    <n v="2"/>
    <n v="26.5"/>
    <s v="312 Main St"/>
    <x v="1"/>
    <x v="3"/>
    <s v="TRK47787981"/>
    <n v="3"/>
    <x v="0"/>
    <x v="0"/>
    <n v="53"/>
    <n v="53"/>
  </r>
  <r>
    <x v="1021"/>
    <x v="5"/>
    <x v="0"/>
    <s v="Q4"/>
    <s v="C74519"/>
    <x v="1"/>
    <n v="3"/>
    <n v="315.27"/>
    <s v="309 Main St"/>
    <x v="2"/>
    <x v="1"/>
    <s v="TRK97351945"/>
    <n v="4"/>
    <x v="0"/>
    <x v="2"/>
    <n v="945.81"/>
    <n v="945.81"/>
  </r>
  <r>
    <x v="1022"/>
    <x v="522"/>
    <x v="2"/>
    <s v="Q1"/>
    <s v="C19071"/>
    <x v="2"/>
    <n v="3"/>
    <n v="450.98"/>
    <s v="396 Main St"/>
    <x v="2"/>
    <x v="0"/>
    <s v="TRK66537096"/>
    <n v="8"/>
    <x v="0"/>
    <x v="1"/>
    <n v="1352.94"/>
    <n v="1352.94"/>
  </r>
  <r>
    <x v="1023"/>
    <x v="296"/>
    <x v="1"/>
    <s v="Q3"/>
    <s v="C65251"/>
    <x v="5"/>
    <n v="5"/>
    <n v="233.67"/>
    <s v="291 Main St"/>
    <x v="4"/>
    <x v="0"/>
    <s v="TRK32059025"/>
    <n v="10"/>
    <x v="2"/>
    <x v="1"/>
    <n v="1168.3499999999999"/>
    <n v="1168.3499999999999"/>
  </r>
  <r>
    <x v="1024"/>
    <x v="412"/>
    <x v="1"/>
    <s v="Q1"/>
    <s v="C90612"/>
    <x v="3"/>
    <n v="3"/>
    <n v="367.75"/>
    <s v="731 Main St"/>
    <x v="4"/>
    <x v="4"/>
    <s v="TRK93022878"/>
    <n v="7"/>
    <x v="1"/>
    <x v="3"/>
    <n v="1103.25"/>
    <n v="1103.25"/>
  </r>
  <r>
    <x v="1025"/>
    <x v="271"/>
    <x v="2"/>
    <s v="Q2"/>
    <s v="C28406"/>
    <x v="3"/>
    <n v="1"/>
    <n v="23.53"/>
    <s v="174 Main St"/>
    <x v="3"/>
    <x v="3"/>
    <s v="TRK98841457"/>
    <n v="2"/>
    <x v="1"/>
    <x v="0"/>
    <n v="23.53"/>
    <n v="23.53"/>
  </r>
  <r>
    <x v="1026"/>
    <x v="31"/>
    <x v="0"/>
    <s v="Q2"/>
    <s v="C55454"/>
    <x v="0"/>
    <n v="1"/>
    <n v="677.48"/>
    <s v="807 Main St"/>
    <x v="1"/>
    <x v="3"/>
    <s v="TRK13281370"/>
    <n v="1"/>
    <x v="3"/>
    <x v="3"/>
    <n v="677.48"/>
    <n v="677.48"/>
  </r>
  <r>
    <x v="1027"/>
    <x v="626"/>
    <x v="1"/>
    <s v="Q2"/>
    <s v="C93467"/>
    <x v="5"/>
    <n v="4"/>
    <n v="554.83000000000004"/>
    <s v="983 Main St"/>
    <x v="4"/>
    <x v="2"/>
    <s v="TRK77377373"/>
    <n v="6"/>
    <x v="2"/>
    <x v="4"/>
    <n v="2219.3200000000002"/>
    <n v="2219.3200000000002"/>
  </r>
  <r>
    <x v="1028"/>
    <x v="96"/>
    <x v="0"/>
    <s v="Q1"/>
    <s v="C60042"/>
    <x v="6"/>
    <n v="4"/>
    <n v="440.31"/>
    <s v="610 Main St"/>
    <x v="4"/>
    <x v="1"/>
    <s v="TRK84651559"/>
    <n v="6"/>
    <x v="2"/>
    <x v="0"/>
    <n v="1761.24"/>
    <n v="1761.24"/>
  </r>
  <r>
    <x v="1029"/>
    <x v="627"/>
    <x v="2"/>
    <s v="Q1"/>
    <s v="C44733"/>
    <x v="6"/>
    <n v="1"/>
    <n v="87.06"/>
    <s v="851 Main St"/>
    <x v="2"/>
    <x v="0"/>
    <s v="TRK41500198"/>
    <n v="4"/>
    <x v="1"/>
    <x v="2"/>
    <n v="87.06"/>
    <n v="87.06"/>
  </r>
  <r>
    <x v="1030"/>
    <x v="276"/>
    <x v="0"/>
    <s v="Q4"/>
    <s v="C61773"/>
    <x v="1"/>
    <n v="4"/>
    <n v="245.28"/>
    <s v="176 Main St"/>
    <x v="2"/>
    <x v="3"/>
    <s v="TRK12936357"/>
    <n v="6"/>
    <x v="3"/>
    <x v="2"/>
    <n v="981.12"/>
    <n v="981.12"/>
  </r>
  <r>
    <x v="1031"/>
    <x v="285"/>
    <x v="0"/>
    <s v="Q1"/>
    <s v="C59183"/>
    <x v="1"/>
    <n v="5"/>
    <n v="664.51"/>
    <s v="136 Main St"/>
    <x v="0"/>
    <x v="4"/>
    <s v="TRK18129706"/>
    <n v="8"/>
    <x v="0"/>
    <x v="2"/>
    <n v="3322.55"/>
    <n v="3322.55"/>
  </r>
  <r>
    <x v="1032"/>
    <x v="197"/>
    <x v="0"/>
    <s v="Q2"/>
    <s v="C26188"/>
    <x v="3"/>
    <n v="1"/>
    <n v="618.67999999999995"/>
    <s v="990 Main St"/>
    <x v="1"/>
    <x v="3"/>
    <s v="TRK61634201"/>
    <n v="6"/>
    <x v="3"/>
    <x v="1"/>
    <n v="618.67999999999995"/>
    <n v="618.67999999999995"/>
  </r>
  <r>
    <x v="1033"/>
    <x v="628"/>
    <x v="1"/>
    <s v="Q4"/>
    <s v="C20338"/>
    <x v="0"/>
    <n v="1"/>
    <n v="370.85"/>
    <s v="331 Main St"/>
    <x v="3"/>
    <x v="3"/>
    <s v="TRK30654048"/>
    <n v="2"/>
    <x v="1"/>
    <x v="1"/>
    <n v="370.85"/>
    <n v="370.85"/>
  </r>
  <r>
    <x v="1034"/>
    <x v="452"/>
    <x v="1"/>
    <s v="Q2"/>
    <s v="C84524"/>
    <x v="4"/>
    <n v="4"/>
    <n v="517.98"/>
    <s v="766 Main St"/>
    <x v="4"/>
    <x v="1"/>
    <s v="TRK76751888"/>
    <n v="8"/>
    <x v="1"/>
    <x v="3"/>
    <n v="2071.92"/>
    <n v="2071.92"/>
  </r>
  <r>
    <x v="1035"/>
    <x v="629"/>
    <x v="0"/>
    <s v="Q4"/>
    <s v="C70315"/>
    <x v="5"/>
    <n v="4"/>
    <n v="506.11"/>
    <s v="911 Main St"/>
    <x v="4"/>
    <x v="1"/>
    <s v="TRK97732085"/>
    <n v="5"/>
    <x v="2"/>
    <x v="1"/>
    <n v="2024.44"/>
    <n v="2024.44"/>
  </r>
  <r>
    <x v="1036"/>
    <x v="583"/>
    <x v="1"/>
    <s v="Q2"/>
    <s v="C98278"/>
    <x v="1"/>
    <n v="3"/>
    <n v="413.83"/>
    <s v="552 Main St"/>
    <x v="3"/>
    <x v="0"/>
    <s v="TRK49684737"/>
    <n v="8"/>
    <x v="0"/>
    <x v="3"/>
    <n v="1241.49"/>
    <n v="1241.49"/>
  </r>
  <r>
    <x v="1037"/>
    <x v="141"/>
    <x v="0"/>
    <s v="Q4"/>
    <s v="C32347"/>
    <x v="4"/>
    <n v="1"/>
    <n v="249.81"/>
    <s v="408 Main St"/>
    <x v="4"/>
    <x v="4"/>
    <s v="TRK54073964"/>
    <n v="1"/>
    <x v="0"/>
    <x v="4"/>
    <n v="249.81"/>
    <n v="249.81"/>
  </r>
  <r>
    <x v="1038"/>
    <x v="175"/>
    <x v="2"/>
    <s v="Q1"/>
    <s v="C77961"/>
    <x v="2"/>
    <n v="3"/>
    <n v="362.53"/>
    <s v="422 Main St"/>
    <x v="0"/>
    <x v="2"/>
    <s v="TRK28969024"/>
    <n v="5"/>
    <x v="2"/>
    <x v="3"/>
    <n v="1087.5899999999999"/>
    <n v="1087.5899999999999"/>
  </r>
  <r>
    <x v="1039"/>
    <x v="164"/>
    <x v="2"/>
    <s v="Q2"/>
    <s v="C49137"/>
    <x v="6"/>
    <n v="2"/>
    <n v="299.23"/>
    <s v="177 Main St"/>
    <x v="2"/>
    <x v="1"/>
    <s v="TRK79362428"/>
    <n v="2"/>
    <x v="3"/>
    <x v="0"/>
    <n v="598.46"/>
    <n v="598.46"/>
  </r>
  <r>
    <x v="1040"/>
    <x v="375"/>
    <x v="0"/>
    <s v="Q4"/>
    <s v="C13169"/>
    <x v="2"/>
    <n v="1"/>
    <n v="536.07000000000005"/>
    <s v="932 Main St"/>
    <x v="0"/>
    <x v="3"/>
    <s v="TRK66288666"/>
    <n v="5"/>
    <x v="1"/>
    <x v="4"/>
    <n v="536.07000000000005"/>
    <n v="536.07000000000005"/>
  </r>
  <r>
    <x v="1041"/>
    <x v="91"/>
    <x v="0"/>
    <s v="Q1"/>
    <s v="C21167"/>
    <x v="0"/>
    <n v="4"/>
    <n v="558.9"/>
    <s v="948 Main St"/>
    <x v="3"/>
    <x v="0"/>
    <s v="TRK97737564"/>
    <n v="9"/>
    <x v="3"/>
    <x v="4"/>
    <n v="2235.6"/>
    <n v="2235.6"/>
  </r>
  <r>
    <x v="1042"/>
    <x v="65"/>
    <x v="1"/>
    <s v="Q4"/>
    <s v="C59724"/>
    <x v="2"/>
    <n v="2"/>
    <n v="409.75"/>
    <s v="414 Main St"/>
    <x v="0"/>
    <x v="0"/>
    <s v="TRK67878272"/>
    <n v="2"/>
    <x v="3"/>
    <x v="3"/>
    <n v="819.5"/>
    <n v="819.5"/>
  </r>
  <r>
    <x v="1043"/>
    <x v="630"/>
    <x v="2"/>
    <s v="Q1"/>
    <s v="C43965"/>
    <x v="2"/>
    <n v="2"/>
    <n v="179.96"/>
    <s v="675 Main St"/>
    <x v="3"/>
    <x v="0"/>
    <s v="TRK94346739"/>
    <n v="5"/>
    <x v="2"/>
    <x v="0"/>
    <n v="359.92"/>
    <n v="359.92"/>
  </r>
  <r>
    <x v="1044"/>
    <x v="450"/>
    <x v="2"/>
    <s v="Q2"/>
    <s v="C63018"/>
    <x v="4"/>
    <n v="1"/>
    <n v="38.49"/>
    <s v="215 Main St"/>
    <x v="2"/>
    <x v="3"/>
    <s v="TRK52335337"/>
    <n v="4"/>
    <x v="1"/>
    <x v="1"/>
    <n v="38.49"/>
    <n v="38.49"/>
  </r>
  <r>
    <x v="1045"/>
    <x v="28"/>
    <x v="1"/>
    <s v="Q3"/>
    <s v="C11893"/>
    <x v="5"/>
    <n v="5"/>
    <n v="316.39999999999998"/>
    <s v="671 Main St"/>
    <x v="3"/>
    <x v="2"/>
    <s v="TRK72012758"/>
    <n v="7"/>
    <x v="2"/>
    <x v="2"/>
    <n v="1582"/>
    <n v="1582"/>
  </r>
  <r>
    <x v="1046"/>
    <x v="550"/>
    <x v="1"/>
    <s v="Q4"/>
    <s v="C85421"/>
    <x v="2"/>
    <n v="3"/>
    <n v="547.15"/>
    <s v="466 Main St"/>
    <x v="1"/>
    <x v="0"/>
    <s v="TRK16524006"/>
    <n v="4"/>
    <x v="3"/>
    <x v="0"/>
    <n v="1641.45"/>
    <n v="1641.45"/>
  </r>
  <r>
    <x v="1047"/>
    <x v="467"/>
    <x v="0"/>
    <s v="Q2"/>
    <s v="C81726"/>
    <x v="3"/>
    <n v="4"/>
    <n v="540.34"/>
    <s v="394 Main St"/>
    <x v="3"/>
    <x v="0"/>
    <s v="TRK69872994"/>
    <n v="6"/>
    <x v="3"/>
    <x v="1"/>
    <n v="2161.36"/>
    <n v="2161.36"/>
  </r>
  <r>
    <x v="1048"/>
    <x v="82"/>
    <x v="1"/>
    <s v="Q3"/>
    <s v="C57601"/>
    <x v="0"/>
    <n v="4"/>
    <n v="73.650000000000006"/>
    <s v="889 Main St"/>
    <x v="0"/>
    <x v="0"/>
    <s v="TRK21153699"/>
    <n v="9"/>
    <x v="2"/>
    <x v="4"/>
    <n v="294.60000000000002"/>
    <n v="294.60000000000002"/>
  </r>
  <r>
    <x v="1049"/>
    <x v="408"/>
    <x v="1"/>
    <s v="Q3"/>
    <s v="C60575"/>
    <x v="6"/>
    <n v="5"/>
    <n v="391.86"/>
    <s v="587 Main St"/>
    <x v="2"/>
    <x v="0"/>
    <s v="TRK44468232"/>
    <n v="6"/>
    <x v="2"/>
    <x v="0"/>
    <n v="1959.3"/>
    <n v="1959.3"/>
  </r>
  <r>
    <x v="1050"/>
    <x v="38"/>
    <x v="0"/>
    <s v="Q3"/>
    <s v="C70659"/>
    <x v="5"/>
    <n v="5"/>
    <n v="69.7"/>
    <s v="722 Main St"/>
    <x v="1"/>
    <x v="2"/>
    <s v="TRK49663597"/>
    <n v="9"/>
    <x v="2"/>
    <x v="0"/>
    <n v="348.5"/>
    <n v="348.5"/>
  </r>
  <r>
    <x v="1051"/>
    <x v="376"/>
    <x v="2"/>
    <s v="Q1"/>
    <s v="C35043"/>
    <x v="0"/>
    <n v="5"/>
    <n v="26.43"/>
    <s v="820 Main St"/>
    <x v="3"/>
    <x v="0"/>
    <s v="TRK65097450"/>
    <n v="5"/>
    <x v="1"/>
    <x v="3"/>
    <n v="132.15"/>
    <n v="132.15"/>
  </r>
  <r>
    <x v="1052"/>
    <x v="631"/>
    <x v="0"/>
    <s v="Q3"/>
    <s v="C12301"/>
    <x v="2"/>
    <n v="1"/>
    <n v="531.74"/>
    <s v="493 Main St"/>
    <x v="1"/>
    <x v="0"/>
    <s v="TRK25145796"/>
    <n v="1"/>
    <x v="3"/>
    <x v="4"/>
    <n v="531.74"/>
    <n v="531.74"/>
  </r>
  <r>
    <x v="1053"/>
    <x v="632"/>
    <x v="1"/>
    <s v="Q3"/>
    <s v="C32798"/>
    <x v="1"/>
    <n v="2"/>
    <n v="496.62"/>
    <s v="679 Main St"/>
    <x v="1"/>
    <x v="4"/>
    <s v="TRK37375451"/>
    <n v="2"/>
    <x v="0"/>
    <x v="0"/>
    <n v="993.24"/>
    <n v="993.24"/>
  </r>
  <r>
    <x v="1054"/>
    <x v="633"/>
    <x v="0"/>
    <s v="Q4"/>
    <s v="C42949"/>
    <x v="4"/>
    <n v="1"/>
    <n v="660.66"/>
    <s v="447 Main St"/>
    <x v="0"/>
    <x v="3"/>
    <s v="TRK46415143"/>
    <n v="3"/>
    <x v="3"/>
    <x v="0"/>
    <n v="660.66"/>
    <n v="660.66"/>
  </r>
  <r>
    <x v="1055"/>
    <x v="5"/>
    <x v="0"/>
    <s v="Q4"/>
    <s v="C10787"/>
    <x v="0"/>
    <n v="4"/>
    <n v="274.82"/>
    <s v="932 Main St"/>
    <x v="0"/>
    <x v="3"/>
    <s v="TRK91512567"/>
    <n v="9"/>
    <x v="3"/>
    <x v="2"/>
    <n v="1099.28"/>
    <n v="1099.28"/>
  </r>
  <r>
    <x v="1056"/>
    <x v="280"/>
    <x v="1"/>
    <s v="Q2"/>
    <s v="C26152"/>
    <x v="1"/>
    <n v="2"/>
    <n v="486.35"/>
    <s v="790 Main St"/>
    <x v="1"/>
    <x v="4"/>
    <s v="TRK49382455"/>
    <n v="6"/>
    <x v="0"/>
    <x v="1"/>
    <n v="972.7"/>
    <n v="972.7"/>
  </r>
  <r>
    <x v="1057"/>
    <x v="634"/>
    <x v="1"/>
    <s v="Q3"/>
    <s v="C46210"/>
    <x v="5"/>
    <n v="3"/>
    <n v="428.88"/>
    <s v="535 Main St"/>
    <x v="0"/>
    <x v="0"/>
    <s v="TRK81611937"/>
    <n v="3"/>
    <x v="3"/>
    <x v="3"/>
    <n v="1286.6400000000001"/>
    <n v="1286.6400000000001"/>
  </r>
  <r>
    <x v="1058"/>
    <x v="102"/>
    <x v="0"/>
    <s v="Q3"/>
    <s v="C32943"/>
    <x v="6"/>
    <n v="2"/>
    <n v="412.14"/>
    <s v="127 Main St"/>
    <x v="2"/>
    <x v="2"/>
    <s v="TRK26949106"/>
    <n v="2"/>
    <x v="1"/>
    <x v="0"/>
    <n v="824.28"/>
    <n v="824.28"/>
  </r>
  <r>
    <x v="1059"/>
    <x v="491"/>
    <x v="1"/>
    <s v="Q3"/>
    <s v="C73629"/>
    <x v="6"/>
    <n v="1"/>
    <n v="265.64"/>
    <s v="601 Main St"/>
    <x v="2"/>
    <x v="2"/>
    <s v="TRK11492924"/>
    <n v="3"/>
    <x v="3"/>
    <x v="0"/>
    <n v="265.64"/>
    <n v="265.64"/>
  </r>
  <r>
    <x v="1060"/>
    <x v="635"/>
    <x v="1"/>
    <s v="Q2"/>
    <s v="C38024"/>
    <x v="2"/>
    <n v="2"/>
    <n v="273.43"/>
    <s v="824 Main St"/>
    <x v="4"/>
    <x v="0"/>
    <s v="TRK93370912"/>
    <n v="7"/>
    <x v="3"/>
    <x v="1"/>
    <n v="546.86"/>
    <n v="546.86"/>
  </r>
  <r>
    <x v="1061"/>
    <x v="636"/>
    <x v="2"/>
    <s v="Q1"/>
    <s v="C25445"/>
    <x v="5"/>
    <n v="5"/>
    <n v="131.69999999999999"/>
    <s v="830 Main St"/>
    <x v="4"/>
    <x v="0"/>
    <s v="TRK12402431"/>
    <n v="8"/>
    <x v="1"/>
    <x v="4"/>
    <n v="658.5"/>
    <n v="658.5"/>
  </r>
  <r>
    <x v="1062"/>
    <x v="421"/>
    <x v="0"/>
    <s v="Q3"/>
    <s v="C13501"/>
    <x v="3"/>
    <n v="5"/>
    <n v="85.52"/>
    <s v="301 Main St"/>
    <x v="3"/>
    <x v="1"/>
    <s v="TRK65149372"/>
    <n v="5"/>
    <x v="2"/>
    <x v="3"/>
    <n v="427.6"/>
    <n v="427.6"/>
  </r>
  <r>
    <x v="1063"/>
    <x v="83"/>
    <x v="1"/>
    <s v="Q2"/>
    <s v="C42108"/>
    <x v="6"/>
    <n v="2"/>
    <n v="320.68"/>
    <s v="336 Main St"/>
    <x v="2"/>
    <x v="0"/>
    <s v="TRK58407918"/>
    <n v="5"/>
    <x v="1"/>
    <x v="1"/>
    <n v="641.36"/>
    <n v="641.36"/>
  </r>
  <r>
    <x v="1064"/>
    <x v="637"/>
    <x v="2"/>
    <s v="Q1"/>
    <s v="C32121"/>
    <x v="5"/>
    <n v="4"/>
    <n v="198.81"/>
    <s v="654 Main St"/>
    <x v="4"/>
    <x v="2"/>
    <s v="TRK96074264"/>
    <n v="9"/>
    <x v="1"/>
    <x v="1"/>
    <n v="795.24"/>
    <n v="795.24"/>
  </r>
  <r>
    <x v="1065"/>
    <x v="638"/>
    <x v="0"/>
    <s v="Q4"/>
    <s v="C47778"/>
    <x v="4"/>
    <n v="5"/>
    <n v="666.8"/>
    <s v="488 Main St"/>
    <x v="0"/>
    <x v="3"/>
    <s v="TRK79504329"/>
    <n v="7"/>
    <x v="0"/>
    <x v="1"/>
    <n v="3334"/>
    <n v="3334"/>
  </r>
  <r>
    <x v="1066"/>
    <x v="639"/>
    <x v="0"/>
    <s v="Q4"/>
    <s v="C10791"/>
    <x v="6"/>
    <n v="1"/>
    <n v="355.09"/>
    <s v="674 Main St"/>
    <x v="0"/>
    <x v="1"/>
    <s v="TRK20321248"/>
    <n v="5"/>
    <x v="0"/>
    <x v="0"/>
    <n v="355.09"/>
    <n v="355.09"/>
  </r>
  <r>
    <x v="1067"/>
    <x v="640"/>
    <x v="0"/>
    <s v="Q2"/>
    <s v="C78959"/>
    <x v="1"/>
    <n v="2"/>
    <n v="316.2"/>
    <s v="384 Main St"/>
    <x v="1"/>
    <x v="2"/>
    <s v="TRK37426359"/>
    <n v="2"/>
    <x v="2"/>
    <x v="0"/>
    <n v="632.4"/>
    <n v="632.4"/>
  </r>
  <r>
    <x v="1068"/>
    <x v="240"/>
    <x v="1"/>
    <s v="Q3"/>
    <s v="C29914"/>
    <x v="5"/>
    <n v="1"/>
    <n v="133.38999999999999"/>
    <s v="469 Main St"/>
    <x v="0"/>
    <x v="0"/>
    <s v="TRK22073506"/>
    <n v="2"/>
    <x v="0"/>
    <x v="1"/>
    <n v="133.38999999999999"/>
    <n v="133.38999999999999"/>
  </r>
  <r>
    <x v="1069"/>
    <x v="641"/>
    <x v="0"/>
    <s v="Q1"/>
    <s v="C70506"/>
    <x v="0"/>
    <n v="1"/>
    <n v="454.23"/>
    <s v="255 Main St"/>
    <x v="3"/>
    <x v="2"/>
    <s v="TRK12518384"/>
    <n v="3"/>
    <x v="2"/>
    <x v="3"/>
    <n v="454.23"/>
    <n v="454.23"/>
  </r>
  <r>
    <x v="1070"/>
    <x v="605"/>
    <x v="1"/>
    <s v="Q3"/>
    <s v="C46873"/>
    <x v="6"/>
    <n v="4"/>
    <n v="491.29"/>
    <s v="496 Main St"/>
    <x v="0"/>
    <x v="4"/>
    <s v="TRK10926575"/>
    <n v="6"/>
    <x v="2"/>
    <x v="2"/>
    <n v="1965.16"/>
    <n v="1965.16"/>
  </r>
  <r>
    <x v="1071"/>
    <x v="53"/>
    <x v="2"/>
    <s v="Q2"/>
    <s v="C94037"/>
    <x v="1"/>
    <n v="2"/>
    <n v="255.14"/>
    <s v="216 Main St"/>
    <x v="4"/>
    <x v="0"/>
    <s v="TRK47536985"/>
    <n v="2"/>
    <x v="2"/>
    <x v="4"/>
    <n v="510.28"/>
    <n v="510.28"/>
  </r>
  <r>
    <x v="1072"/>
    <x v="297"/>
    <x v="0"/>
    <s v="Q1"/>
    <s v="C88644"/>
    <x v="0"/>
    <n v="1"/>
    <n v="392.61"/>
    <s v="977 Main St"/>
    <x v="3"/>
    <x v="1"/>
    <s v="TRK14900878"/>
    <n v="4"/>
    <x v="0"/>
    <x v="1"/>
    <n v="392.61"/>
    <n v="392.61"/>
  </r>
  <r>
    <x v="1073"/>
    <x v="642"/>
    <x v="1"/>
    <s v="Q4"/>
    <s v="C69471"/>
    <x v="2"/>
    <n v="4"/>
    <n v="362.06"/>
    <s v="294 Main St"/>
    <x v="0"/>
    <x v="2"/>
    <s v="TRK11107152"/>
    <n v="4"/>
    <x v="2"/>
    <x v="3"/>
    <n v="1448.24"/>
    <n v="1448.24"/>
  </r>
  <r>
    <x v="1074"/>
    <x v="451"/>
    <x v="1"/>
    <s v="Q2"/>
    <s v="C21437"/>
    <x v="1"/>
    <n v="1"/>
    <n v="222.73"/>
    <s v="120 Main St"/>
    <x v="1"/>
    <x v="2"/>
    <s v="TRK81624772"/>
    <n v="4"/>
    <x v="2"/>
    <x v="4"/>
    <n v="222.73"/>
    <n v="222.73"/>
  </r>
  <r>
    <x v="1075"/>
    <x v="169"/>
    <x v="1"/>
    <s v="Q3"/>
    <s v="C40949"/>
    <x v="0"/>
    <n v="2"/>
    <n v="552.63"/>
    <s v="609 Main St"/>
    <x v="0"/>
    <x v="3"/>
    <s v="TRK43066749"/>
    <n v="7"/>
    <x v="3"/>
    <x v="0"/>
    <n v="1105.26"/>
    <n v="1105.26"/>
  </r>
  <r>
    <x v="1076"/>
    <x v="20"/>
    <x v="0"/>
    <s v="Q2"/>
    <s v="C99116"/>
    <x v="5"/>
    <n v="4"/>
    <n v="686.61"/>
    <s v="176 Main St"/>
    <x v="4"/>
    <x v="0"/>
    <s v="TRK52711973"/>
    <n v="6"/>
    <x v="2"/>
    <x v="1"/>
    <n v="2746.44"/>
    <n v="2746.44"/>
  </r>
  <r>
    <x v="1077"/>
    <x v="456"/>
    <x v="2"/>
    <s v="Q1"/>
    <s v="C57861"/>
    <x v="4"/>
    <n v="3"/>
    <n v="305.16000000000003"/>
    <s v="115 Main St"/>
    <x v="2"/>
    <x v="1"/>
    <s v="TRK47775217"/>
    <n v="8"/>
    <x v="0"/>
    <x v="1"/>
    <n v="915.48"/>
    <n v="915.48"/>
  </r>
  <r>
    <x v="1078"/>
    <x v="168"/>
    <x v="0"/>
    <s v="Q1"/>
    <s v="C62627"/>
    <x v="6"/>
    <n v="1"/>
    <n v="41.09"/>
    <s v="881 Main St"/>
    <x v="1"/>
    <x v="2"/>
    <s v="TRK90060232"/>
    <n v="4"/>
    <x v="3"/>
    <x v="2"/>
    <n v="41.09"/>
    <n v="41.09"/>
  </r>
  <r>
    <x v="1079"/>
    <x v="643"/>
    <x v="1"/>
    <s v="Q2"/>
    <s v="C89979"/>
    <x v="1"/>
    <n v="5"/>
    <n v="634"/>
    <s v="144 Main St"/>
    <x v="3"/>
    <x v="3"/>
    <s v="TRK99055909"/>
    <n v="8"/>
    <x v="2"/>
    <x v="2"/>
    <n v="3170"/>
    <n v="3170"/>
  </r>
  <r>
    <x v="1080"/>
    <x v="325"/>
    <x v="0"/>
    <s v="Q1"/>
    <s v="C70613"/>
    <x v="5"/>
    <n v="5"/>
    <n v="464.74"/>
    <s v="438 Main St"/>
    <x v="3"/>
    <x v="3"/>
    <s v="TRK33140293"/>
    <n v="7"/>
    <x v="2"/>
    <x v="1"/>
    <n v="2323.6999999999998"/>
    <n v="2323.6999999999998"/>
  </r>
  <r>
    <x v="1081"/>
    <x v="453"/>
    <x v="0"/>
    <s v="Q2"/>
    <s v="C55636"/>
    <x v="0"/>
    <n v="4"/>
    <n v="425.6"/>
    <s v="494 Main St"/>
    <x v="2"/>
    <x v="4"/>
    <s v="TRK85897054"/>
    <n v="5"/>
    <x v="1"/>
    <x v="4"/>
    <n v="1702.4"/>
    <n v="1702.4"/>
  </r>
  <r>
    <x v="1082"/>
    <x v="426"/>
    <x v="0"/>
    <s v="Q4"/>
    <s v="C96595"/>
    <x v="3"/>
    <n v="3"/>
    <n v="573.22"/>
    <s v="177 Main St"/>
    <x v="0"/>
    <x v="4"/>
    <s v="TRK59779174"/>
    <n v="5"/>
    <x v="0"/>
    <x v="2"/>
    <n v="1719.66"/>
    <n v="1719.66"/>
  </r>
  <r>
    <x v="1083"/>
    <x v="644"/>
    <x v="1"/>
    <s v="Q3"/>
    <s v="C68508"/>
    <x v="3"/>
    <n v="1"/>
    <n v="123.28"/>
    <s v="895 Main St"/>
    <x v="2"/>
    <x v="3"/>
    <s v="TRK98960285"/>
    <n v="3"/>
    <x v="0"/>
    <x v="2"/>
    <n v="123.28"/>
    <n v="123.28"/>
  </r>
  <r>
    <x v="1084"/>
    <x v="124"/>
    <x v="0"/>
    <s v="Q1"/>
    <s v="C45175"/>
    <x v="1"/>
    <n v="1"/>
    <n v="70.819999999999993"/>
    <s v="128 Main St"/>
    <x v="3"/>
    <x v="4"/>
    <s v="TRK41792296"/>
    <n v="1"/>
    <x v="3"/>
    <x v="0"/>
    <n v="70.819999999999993"/>
    <n v="70.819999999999993"/>
  </r>
  <r>
    <x v="1085"/>
    <x v="54"/>
    <x v="0"/>
    <s v="Q2"/>
    <s v="C28049"/>
    <x v="4"/>
    <n v="2"/>
    <n v="646.69000000000005"/>
    <s v="404 Main St"/>
    <x v="0"/>
    <x v="0"/>
    <s v="TRK91426444"/>
    <n v="7"/>
    <x v="3"/>
    <x v="0"/>
    <n v="1293.3800000000001"/>
    <n v="1293.3800000000001"/>
  </r>
  <r>
    <x v="1086"/>
    <x v="475"/>
    <x v="0"/>
    <s v="Q4"/>
    <s v="C46967"/>
    <x v="2"/>
    <n v="2"/>
    <n v="513.41999999999996"/>
    <s v="401 Main St"/>
    <x v="1"/>
    <x v="4"/>
    <s v="TRK91439791"/>
    <n v="5"/>
    <x v="3"/>
    <x v="0"/>
    <n v="1026.8399999999999"/>
    <n v="1026.8399999999999"/>
  </r>
  <r>
    <x v="1087"/>
    <x v="411"/>
    <x v="2"/>
    <s v="Q1"/>
    <s v="C84134"/>
    <x v="5"/>
    <n v="4"/>
    <n v="693.07"/>
    <s v="530 Main St"/>
    <x v="1"/>
    <x v="0"/>
    <s v="TRK48659380"/>
    <n v="8"/>
    <x v="0"/>
    <x v="0"/>
    <n v="2772.28"/>
    <n v="2772.28"/>
  </r>
  <r>
    <x v="1088"/>
    <x v="115"/>
    <x v="0"/>
    <s v="Q4"/>
    <s v="C49831"/>
    <x v="6"/>
    <n v="3"/>
    <n v="491.43"/>
    <s v="213 Main St"/>
    <x v="3"/>
    <x v="0"/>
    <s v="TRK21232601"/>
    <n v="6"/>
    <x v="3"/>
    <x v="0"/>
    <n v="1474.29"/>
    <n v="1474.29"/>
  </r>
  <r>
    <x v="1089"/>
    <x v="175"/>
    <x v="2"/>
    <s v="Q1"/>
    <s v="C13324"/>
    <x v="2"/>
    <n v="2"/>
    <n v="599.74"/>
    <s v="440 Main St"/>
    <x v="3"/>
    <x v="0"/>
    <s v="TRK66967997"/>
    <n v="2"/>
    <x v="2"/>
    <x v="0"/>
    <n v="1199.48"/>
    <n v="1199.48"/>
  </r>
  <r>
    <x v="1090"/>
    <x v="641"/>
    <x v="0"/>
    <s v="Q1"/>
    <s v="C61225"/>
    <x v="0"/>
    <n v="2"/>
    <n v="650.25"/>
    <s v="996 Main St"/>
    <x v="3"/>
    <x v="2"/>
    <s v="TRK37022954"/>
    <n v="6"/>
    <x v="2"/>
    <x v="0"/>
    <n v="1300.5"/>
    <n v="1300.5"/>
  </r>
  <r>
    <x v="1091"/>
    <x v="192"/>
    <x v="1"/>
    <s v="Q4"/>
    <s v="C16400"/>
    <x v="5"/>
    <n v="3"/>
    <n v="209.48"/>
    <s v="123 Main St"/>
    <x v="0"/>
    <x v="4"/>
    <s v="TRK57771859"/>
    <n v="4"/>
    <x v="2"/>
    <x v="2"/>
    <n v="628.44000000000005"/>
    <n v="628.44000000000005"/>
  </r>
  <r>
    <x v="1092"/>
    <x v="531"/>
    <x v="0"/>
    <s v="Q3"/>
    <s v="C38642"/>
    <x v="5"/>
    <n v="5"/>
    <n v="209.2"/>
    <s v="930 Main St"/>
    <x v="0"/>
    <x v="3"/>
    <s v="TRK47744396"/>
    <n v="6"/>
    <x v="3"/>
    <x v="2"/>
    <n v="1046"/>
    <n v="1046"/>
  </r>
  <r>
    <x v="1093"/>
    <x v="308"/>
    <x v="0"/>
    <s v="Q2"/>
    <s v="C86773"/>
    <x v="1"/>
    <n v="4"/>
    <n v="197.36"/>
    <s v="557 Main St"/>
    <x v="3"/>
    <x v="2"/>
    <s v="TRK22612240"/>
    <n v="9"/>
    <x v="1"/>
    <x v="0"/>
    <n v="789.44"/>
    <n v="789.44"/>
  </r>
  <r>
    <x v="1094"/>
    <x v="342"/>
    <x v="0"/>
    <s v="Q2"/>
    <s v="C66093"/>
    <x v="4"/>
    <n v="4"/>
    <n v="648.91"/>
    <s v="615 Main St"/>
    <x v="2"/>
    <x v="0"/>
    <s v="TRK54950785"/>
    <n v="6"/>
    <x v="0"/>
    <x v="0"/>
    <n v="2595.64"/>
    <n v="2595.64"/>
  </r>
  <r>
    <x v="1095"/>
    <x v="234"/>
    <x v="1"/>
    <s v="Q2"/>
    <s v="C33051"/>
    <x v="1"/>
    <n v="2"/>
    <n v="441.54"/>
    <s v="397 Main St"/>
    <x v="1"/>
    <x v="3"/>
    <s v="TRK92929755"/>
    <n v="2"/>
    <x v="0"/>
    <x v="2"/>
    <n v="883.08"/>
    <n v="883.08"/>
  </r>
  <r>
    <x v="1096"/>
    <x v="120"/>
    <x v="2"/>
    <s v="Q2"/>
    <s v="C18169"/>
    <x v="2"/>
    <n v="2"/>
    <n v="464.92"/>
    <s v="782 Main St"/>
    <x v="0"/>
    <x v="2"/>
    <s v="TRK49482923"/>
    <n v="2"/>
    <x v="2"/>
    <x v="3"/>
    <n v="929.84"/>
    <n v="929.84"/>
  </r>
  <r>
    <x v="1097"/>
    <x v="645"/>
    <x v="1"/>
    <s v="Q4"/>
    <s v="C81370"/>
    <x v="0"/>
    <n v="5"/>
    <n v="506.45"/>
    <s v="344 Main St"/>
    <x v="3"/>
    <x v="0"/>
    <s v="TRK99682998"/>
    <n v="7"/>
    <x v="3"/>
    <x v="4"/>
    <n v="2532.25"/>
    <n v="2532.25"/>
  </r>
  <r>
    <x v="1098"/>
    <x v="646"/>
    <x v="0"/>
    <s v="Q2"/>
    <s v="C91103"/>
    <x v="0"/>
    <n v="4"/>
    <n v="255.86"/>
    <s v="155 Main St"/>
    <x v="2"/>
    <x v="3"/>
    <s v="TRK91653000"/>
    <n v="7"/>
    <x v="2"/>
    <x v="2"/>
    <n v="1023.44"/>
    <n v="1023.44"/>
  </r>
  <r>
    <x v="1099"/>
    <x v="556"/>
    <x v="1"/>
    <s v="Q3"/>
    <s v="C21953"/>
    <x v="5"/>
    <n v="2"/>
    <n v="125.23"/>
    <s v="272 Main St"/>
    <x v="4"/>
    <x v="1"/>
    <s v="TRK60774796"/>
    <n v="3"/>
    <x v="1"/>
    <x v="2"/>
    <n v="250.46"/>
    <n v="250.46"/>
  </r>
  <r>
    <x v="1100"/>
    <x v="538"/>
    <x v="0"/>
    <s v="Q3"/>
    <s v="C15146"/>
    <x v="5"/>
    <n v="5"/>
    <n v="38.11"/>
    <s v="428 Main St"/>
    <x v="0"/>
    <x v="1"/>
    <s v="TRK79790530"/>
    <n v="6"/>
    <x v="3"/>
    <x v="0"/>
    <n v="190.55"/>
    <n v="190.55"/>
  </r>
  <r>
    <x v="1101"/>
    <x v="647"/>
    <x v="2"/>
    <s v="Q2"/>
    <s v="C43546"/>
    <x v="0"/>
    <n v="3"/>
    <n v="161.97"/>
    <s v="904 Main St"/>
    <x v="4"/>
    <x v="4"/>
    <s v="TRK85871121"/>
    <n v="4"/>
    <x v="0"/>
    <x v="2"/>
    <n v="485.91"/>
    <n v="485.91"/>
  </r>
  <r>
    <x v="1102"/>
    <x v="561"/>
    <x v="1"/>
    <s v="Q2"/>
    <s v="C98474"/>
    <x v="3"/>
    <n v="4"/>
    <n v="347.17"/>
    <s v="997 Main St"/>
    <x v="0"/>
    <x v="0"/>
    <s v="TRK86192984"/>
    <n v="8"/>
    <x v="2"/>
    <x v="0"/>
    <n v="1388.68"/>
    <n v="1388.68"/>
  </r>
  <r>
    <x v="1103"/>
    <x v="648"/>
    <x v="0"/>
    <s v="Q2"/>
    <s v="C90292"/>
    <x v="5"/>
    <n v="4"/>
    <n v="276.32"/>
    <s v="129 Main St"/>
    <x v="1"/>
    <x v="3"/>
    <s v="TRK26270357"/>
    <n v="5"/>
    <x v="2"/>
    <x v="4"/>
    <n v="1105.28"/>
    <n v="1105.28"/>
  </r>
  <r>
    <x v="1104"/>
    <x v="568"/>
    <x v="1"/>
    <s v="Q3"/>
    <s v="C17075"/>
    <x v="2"/>
    <n v="4"/>
    <n v="314.76"/>
    <s v="850 Main St"/>
    <x v="1"/>
    <x v="0"/>
    <s v="TRK63547510"/>
    <n v="8"/>
    <x v="2"/>
    <x v="0"/>
    <n v="1259.04"/>
    <n v="1259.04"/>
  </r>
  <r>
    <x v="1105"/>
    <x v="649"/>
    <x v="1"/>
    <s v="Q1"/>
    <s v="C12487"/>
    <x v="2"/>
    <n v="3"/>
    <n v="475.69"/>
    <s v="884 Main St"/>
    <x v="3"/>
    <x v="1"/>
    <s v="TRK23324770"/>
    <n v="3"/>
    <x v="1"/>
    <x v="4"/>
    <n v="1427.07"/>
    <n v="1427.07"/>
  </r>
  <r>
    <x v="1106"/>
    <x v="255"/>
    <x v="0"/>
    <s v="Q1"/>
    <s v="C34555"/>
    <x v="3"/>
    <n v="1"/>
    <n v="372.8"/>
    <s v="903 Main St"/>
    <x v="4"/>
    <x v="1"/>
    <s v="TRK72859458"/>
    <n v="6"/>
    <x v="0"/>
    <x v="3"/>
    <n v="372.8"/>
    <n v="372.8"/>
  </r>
  <r>
    <x v="1107"/>
    <x v="233"/>
    <x v="2"/>
    <s v="Q2"/>
    <s v="C25110"/>
    <x v="2"/>
    <n v="2"/>
    <n v="63.21"/>
    <s v="282 Main St"/>
    <x v="1"/>
    <x v="1"/>
    <s v="TRK80963328"/>
    <n v="4"/>
    <x v="0"/>
    <x v="4"/>
    <n v="126.42"/>
    <n v="126.42"/>
  </r>
  <r>
    <x v="1108"/>
    <x v="650"/>
    <x v="0"/>
    <s v="Q1"/>
    <s v="C35136"/>
    <x v="5"/>
    <n v="1"/>
    <n v="634.94000000000005"/>
    <s v="462 Main St"/>
    <x v="1"/>
    <x v="1"/>
    <s v="TRK49753703"/>
    <n v="5"/>
    <x v="3"/>
    <x v="0"/>
    <n v="634.94000000000005"/>
    <n v="634.94000000000005"/>
  </r>
  <r>
    <x v="1109"/>
    <x v="651"/>
    <x v="1"/>
    <s v="Q2"/>
    <s v="C62277"/>
    <x v="4"/>
    <n v="4"/>
    <n v="77.47"/>
    <s v="474 Main St"/>
    <x v="3"/>
    <x v="2"/>
    <s v="TRK32026174"/>
    <n v="7"/>
    <x v="0"/>
    <x v="0"/>
    <n v="309.88"/>
    <n v="309.88"/>
  </r>
  <r>
    <x v="1110"/>
    <x v="402"/>
    <x v="1"/>
    <s v="Q1"/>
    <s v="C12472"/>
    <x v="3"/>
    <n v="3"/>
    <n v="84.31"/>
    <s v="912 Main St"/>
    <x v="2"/>
    <x v="0"/>
    <s v="TRK36103184"/>
    <n v="3"/>
    <x v="0"/>
    <x v="2"/>
    <n v="252.93"/>
    <n v="252.93"/>
  </r>
  <r>
    <x v="1111"/>
    <x v="306"/>
    <x v="0"/>
    <s v="Q2"/>
    <s v="C24047"/>
    <x v="0"/>
    <n v="4"/>
    <n v="234.45"/>
    <s v="362 Main St"/>
    <x v="1"/>
    <x v="1"/>
    <s v="TRK91338580"/>
    <n v="9"/>
    <x v="1"/>
    <x v="0"/>
    <n v="937.8"/>
    <n v="937.8"/>
  </r>
  <r>
    <x v="1112"/>
    <x v="652"/>
    <x v="0"/>
    <s v="Q4"/>
    <s v="C76929"/>
    <x v="6"/>
    <n v="1"/>
    <n v="356.81"/>
    <s v="563 Main St"/>
    <x v="1"/>
    <x v="3"/>
    <s v="TRK80694400"/>
    <n v="1"/>
    <x v="3"/>
    <x v="0"/>
    <n v="356.81"/>
    <n v="356.81"/>
  </r>
  <r>
    <x v="1113"/>
    <x v="111"/>
    <x v="0"/>
    <s v="Q1"/>
    <s v="C52914"/>
    <x v="6"/>
    <n v="4"/>
    <n v="209.99"/>
    <s v="168 Main St"/>
    <x v="4"/>
    <x v="3"/>
    <s v="TRK80819053"/>
    <n v="8"/>
    <x v="2"/>
    <x v="4"/>
    <n v="839.96"/>
    <n v="839.96"/>
  </r>
  <r>
    <x v="1114"/>
    <x v="653"/>
    <x v="0"/>
    <s v="Q1"/>
    <s v="C55164"/>
    <x v="2"/>
    <n v="3"/>
    <n v="659.88"/>
    <s v="609 Main St"/>
    <x v="3"/>
    <x v="1"/>
    <s v="TRK79610967"/>
    <n v="3"/>
    <x v="2"/>
    <x v="4"/>
    <n v="1979.64"/>
    <n v="1979.64"/>
  </r>
  <r>
    <x v="1115"/>
    <x v="126"/>
    <x v="2"/>
    <s v="Q2"/>
    <s v="C70426"/>
    <x v="5"/>
    <n v="2"/>
    <n v="336.32"/>
    <s v="562 Main St"/>
    <x v="1"/>
    <x v="2"/>
    <s v="TRK89687816"/>
    <n v="3"/>
    <x v="2"/>
    <x v="4"/>
    <n v="672.64"/>
    <n v="672.64"/>
  </r>
  <r>
    <x v="1116"/>
    <x v="612"/>
    <x v="0"/>
    <s v="Q4"/>
    <s v="C69149"/>
    <x v="4"/>
    <n v="2"/>
    <n v="531.49"/>
    <s v="562 Main St"/>
    <x v="2"/>
    <x v="3"/>
    <s v="TRK61265132"/>
    <n v="7"/>
    <x v="3"/>
    <x v="3"/>
    <n v="1062.98"/>
    <n v="1062.98"/>
  </r>
  <r>
    <x v="1117"/>
    <x v="199"/>
    <x v="1"/>
    <s v="Q2"/>
    <s v="C78684"/>
    <x v="3"/>
    <n v="3"/>
    <n v="588.44000000000005"/>
    <s v="858 Main St"/>
    <x v="3"/>
    <x v="0"/>
    <s v="TRK95779073"/>
    <n v="8"/>
    <x v="3"/>
    <x v="4"/>
    <n v="1765.32"/>
    <n v="1765.32"/>
  </r>
  <r>
    <x v="1118"/>
    <x v="75"/>
    <x v="1"/>
    <s v="Q2"/>
    <s v="C58168"/>
    <x v="1"/>
    <n v="3"/>
    <n v="251.48"/>
    <s v="359 Main St"/>
    <x v="2"/>
    <x v="2"/>
    <s v="TRK99102265"/>
    <n v="4"/>
    <x v="2"/>
    <x v="2"/>
    <n v="754.44"/>
    <n v="754.44"/>
  </r>
  <r>
    <x v="1119"/>
    <x v="167"/>
    <x v="1"/>
    <s v="Q4"/>
    <s v="C99024"/>
    <x v="5"/>
    <n v="1"/>
    <n v="684.65"/>
    <s v="250 Main St"/>
    <x v="2"/>
    <x v="3"/>
    <s v="TRK24675988"/>
    <n v="1"/>
    <x v="1"/>
    <x v="2"/>
    <n v="684.65"/>
    <n v="684.65"/>
  </r>
  <r>
    <x v="1120"/>
    <x v="400"/>
    <x v="2"/>
    <s v="Q2"/>
    <s v="C22919"/>
    <x v="2"/>
    <n v="1"/>
    <n v="195.86"/>
    <s v="267 Main St"/>
    <x v="1"/>
    <x v="4"/>
    <s v="TRK82416295"/>
    <n v="3"/>
    <x v="2"/>
    <x v="3"/>
    <n v="195.86"/>
    <n v="195.86"/>
  </r>
  <r>
    <x v="1121"/>
    <x v="654"/>
    <x v="0"/>
    <s v="Q2"/>
    <s v="C98354"/>
    <x v="1"/>
    <n v="3"/>
    <n v="50.34"/>
    <s v="393 Main St"/>
    <x v="3"/>
    <x v="2"/>
    <s v="TRK43070888"/>
    <n v="3"/>
    <x v="1"/>
    <x v="0"/>
    <n v="151.02000000000001"/>
    <n v="151.02000000000001"/>
  </r>
  <r>
    <x v="1122"/>
    <x v="323"/>
    <x v="0"/>
    <s v="Q2"/>
    <s v="C38840"/>
    <x v="0"/>
    <n v="5"/>
    <n v="678.19"/>
    <s v="766 Main St"/>
    <x v="1"/>
    <x v="2"/>
    <s v="TRK32496970"/>
    <n v="8"/>
    <x v="2"/>
    <x v="3"/>
    <n v="3390.95"/>
    <n v="3390.95"/>
  </r>
  <r>
    <x v="1123"/>
    <x v="655"/>
    <x v="0"/>
    <s v="Q2"/>
    <s v="C68936"/>
    <x v="2"/>
    <n v="3"/>
    <n v="554.25"/>
    <s v="843 Main St"/>
    <x v="0"/>
    <x v="0"/>
    <s v="TRK73163634"/>
    <n v="6"/>
    <x v="3"/>
    <x v="1"/>
    <n v="1662.75"/>
    <n v="1662.75"/>
  </r>
  <r>
    <x v="1124"/>
    <x v="221"/>
    <x v="0"/>
    <s v="Q2"/>
    <s v="C33744"/>
    <x v="3"/>
    <n v="4"/>
    <n v="576.87"/>
    <s v="888 Main St"/>
    <x v="3"/>
    <x v="2"/>
    <s v="TRK40245983"/>
    <n v="5"/>
    <x v="2"/>
    <x v="0"/>
    <n v="2307.48"/>
    <n v="2307.48"/>
  </r>
  <r>
    <x v="1125"/>
    <x v="504"/>
    <x v="0"/>
    <s v="Q4"/>
    <s v="C23555"/>
    <x v="6"/>
    <n v="4"/>
    <n v="408.36"/>
    <s v="156 Main St"/>
    <x v="3"/>
    <x v="1"/>
    <s v="TRK67210247"/>
    <n v="4"/>
    <x v="1"/>
    <x v="1"/>
    <n v="1633.44"/>
    <n v="1633.44"/>
  </r>
  <r>
    <x v="1126"/>
    <x v="319"/>
    <x v="1"/>
    <s v="Q3"/>
    <s v="C34337"/>
    <x v="1"/>
    <n v="5"/>
    <n v="190.11"/>
    <s v="325 Main St"/>
    <x v="4"/>
    <x v="3"/>
    <s v="TRK36195559"/>
    <n v="7"/>
    <x v="0"/>
    <x v="4"/>
    <n v="950.55"/>
    <n v="950.55"/>
  </r>
  <r>
    <x v="1127"/>
    <x v="175"/>
    <x v="2"/>
    <s v="Q1"/>
    <s v="C69396"/>
    <x v="4"/>
    <n v="3"/>
    <n v="602.75"/>
    <s v="920 Main St"/>
    <x v="2"/>
    <x v="0"/>
    <s v="TRK33155049"/>
    <n v="6"/>
    <x v="0"/>
    <x v="2"/>
    <n v="1808.25"/>
    <n v="1808.25"/>
  </r>
  <r>
    <x v="1128"/>
    <x v="538"/>
    <x v="0"/>
    <s v="Q3"/>
    <s v="C49198"/>
    <x v="0"/>
    <n v="3"/>
    <n v="646.79"/>
    <s v="447 Main St"/>
    <x v="4"/>
    <x v="1"/>
    <s v="TRK10883354"/>
    <n v="5"/>
    <x v="3"/>
    <x v="4"/>
    <n v="1940.37"/>
    <n v="1940.37"/>
  </r>
  <r>
    <x v="1129"/>
    <x v="236"/>
    <x v="0"/>
    <s v="Q2"/>
    <s v="C43911"/>
    <x v="3"/>
    <n v="4"/>
    <n v="418.71"/>
    <s v="239 Main St"/>
    <x v="4"/>
    <x v="4"/>
    <s v="TRK37495481"/>
    <n v="8"/>
    <x v="1"/>
    <x v="0"/>
    <n v="1674.84"/>
    <n v="1674.84"/>
  </r>
  <r>
    <x v="1130"/>
    <x v="656"/>
    <x v="2"/>
    <s v="Q1"/>
    <s v="C24347"/>
    <x v="5"/>
    <n v="2"/>
    <n v="323.45"/>
    <s v="533 Main St"/>
    <x v="2"/>
    <x v="2"/>
    <s v="TRK27233265"/>
    <n v="5"/>
    <x v="1"/>
    <x v="0"/>
    <n v="646.9"/>
    <n v="646.9"/>
  </r>
  <r>
    <x v="1131"/>
    <x v="408"/>
    <x v="1"/>
    <s v="Q3"/>
    <s v="C21043"/>
    <x v="1"/>
    <n v="1"/>
    <n v="694.5"/>
    <s v="195 Main St"/>
    <x v="2"/>
    <x v="4"/>
    <s v="TRK41691086"/>
    <n v="3"/>
    <x v="3"/>
    <x v="3"/>
    <n v="694.5"/>
    <n v="694.5"/>
  </r>
  <r>
    <x v="1132"/>
    <x v="657"/>
    <x v="1"/>
    <s v="Q4"/>
    <s v="C58858"/>
    <x v="3"/>
    <n v="2"/>
    <n v="337.32"/>
    <s v="948 Main St"/>
    <x v="2"/>
    <x v="1"/>
    <s v="TRK30406357"/>
    <n v="4"/>
    <x v="0"/>
    <x v="2"/>
    <n v="674.64"/>
    <n v="674.64"/>
  </r>
  <r>
    <x v="1133"/>
    <x v="398"/>
    <x v="1"/>
    <s v="Q2"/>
    <s v="C20670"/>
    <x v="4"/>
    <n v="2"/>
    <n v="467.91"/>
    <s v="432 Main St"/>
    <x v="3"/>
    <x v="2"/>
    <s v="TRK76731303"/>
    <n v="5"/>
    <x v="3"/>
    <x v="3"/>
    <n v="935.82"/>
    <n v="935.82"/>
  </r>
  <r>
    <x v="1134"/>
    <x v="180"/>
    <x v="1"/>
    <s v="Q2"/>
    <s v="C90993"/>
    <x v="6"/>
    <n v="4"/>
    <n v="38.28"/>
    <s v="950 Main St"/>
    <x v="0"/>
    <x v="1"/>
    <s v="TRK53964711"/>
    <n v="4"/>
    <x v="3"/>
    <x v="3"/>
    <n v="153.12"/>
    <n v="153.12"/>
  </r>
  <r>
    <x v="1135"/>
    <x v="153"/>
    <x v="0"/>
    <s v="Q4"/>
    <s v="C11473"/>
    <x v="4"/>
    <n v="2"/>
    <n v="73.41"/>
    <s v="562 Main St"/>
    <x v="1"/>
    <x v="0"/>
    <s v="TRK97793275"/>
    <n v="2"/>
    <x v="0"/>
    <x v="4"/>
    <n v="146.82"/>
    <n v="146.82"/>
  </r>
  <r>
    <x v="1136"/>
    <x v="463"/>
    <x v="0"/>
    <s v="Q3"/>
    <s v="C71899"/>
    <x v="2"/>
    <n v="3"/>
    <n v="668.33"/>
    <s v="799 Main St"/>
    <x v="3"/>
    <x v="4"/>
    <s v="TRK34856025"/>
    <n v="4"/>
    <x v="3"/>
    <x v="3"/>
    <n v="2004.99"/>
    <n v="2004.99"/>
  </r>
  <r>
    <x v="1137"/>
    <x v="511"/>
    <x v="1"/>
    <s v="Q3"/>
    <s v="C48577"/>
    <x v="4"/>
    <n v="4"/>
    <n v="410.21"/>
    <s v="841 Main St"/>
    <x v="4"/>
    <x v="4"/>
    <s v="TRK59911645"/>
    <n v="5"/>
    <x v="3"/>
    <x v="0"/>
    <n v="1640.84"/>
    <n v="1640.84"/>
  </r>
  <r>
    <x v="1138"/>
    <x v="552"/>
    <x v="0"/>
    <s v="Q4"/>
    <s v="C13100"/>
    <x v="6"/>
    <n v="4"/>
    <n v="294.41000000000003"/>
    <s v="188 Main St"/>
    <x v="0"/>
    <x v="4"/>
    <s v="TRK55565668"/>
    <n v="4"/>
    <x v="2"/>
    <x v="0"/>
    <n v="1177.6400000000001"/>
    <n v="1177.6400000000001"/>
  </r>
  <r>
    <x v="1139"/>
    <x v="627"/>
    <x v="2"/>
    <s v="Q1"/>
    <s v="C70659"/>
    <x v="3"/>
    <n v="3"/>
    <n v="501.82"/>
    <s v="568 Main St"/>
    <x v="3"/>
    <x v="1"/>
    <s v="TRK28290825"/>
    <n v="4"/>
    <x v="1"/>
    <x v="2"/>
    <n v="1505.46"/>
    <n v="1505.46"/>
  </r>
  <r>
    <x v="1140"/>
    <x v="658"/>
    <x v="1"/>
    <s v="Q2"/>
    <s v="C49838"/>
    <x v="4"/>
    <n v="2"/>
    <n v="552.83000000000004"/>
    <s v="904 Main St"/>
    <x v="2"/>
    <x v="1"/>
    <s v="TRK38297718"/>
    <n v="3"/>
    <x v="2"/>
    <x v="1"/>
    <n v="1105.6600000000001"/>
    <n v="1105.6600000000001"/>
  </r>
  <r>
    <x v="1141"/>
    <x v="656"/>
    <x v="2"/>
    <s v="Q1"/>
    <s v="C11998"/>
    <x v="3"/>
    <n v="3"/>
    <n v="498.66"/>
    <s v="382 Main St"/>
    <x v="4"/>
    <x v="1"/>
    <s v="TRK26707221"/>
    <n v="6"/>
    <x v="2"/>
    <x v="2"/>
    <n v="1495.98"/>
    <n v="1495.98"/>
  </r>
  <r>
    <x v="1142"/>
    <x v="1"/>
    <x v="1"/>
    <s v="Q3"/>
    <s v="C23405"/>
    <x v="1"/>
    <n v="4"/>
    <n v="695.1"/>
    <s v="484 Main St"/>
    <x v="0"/>
    <x v="2"/>
    <s v="TRK83678708"/>
    <n v="8"/>
    <x v="2"/>
    <x v="2"/>
    <n v="2780.4"/>
    <n v="2780.4"/>
  </r>
  <r>
    <x v="1143"/>
    <x v="659"/>
    <x v="0"/>
    <s v="Q2"/>
    <s v="C41132"/>
    <x v="3"/>
    <n v="1"/>
    <n v="381.61"/>
    <s v="114 Main St"/>
    <x v="0"/>
    <x v="4"/>
    <s v="TRK51040137"/>
    <n v="5"/>
    <x v="2"/>
    <x v="2"/>
    <n v="381.61"/>
    <n v="381.61"/>
  </r>
  <r>
    <x v="1144"/>
    <x v="223"/>
    <x v="0"/>
    <s v="Q1"/>
    <s v="C88463"/>
    <x v="6"/>
    <n v="5"/>
    <n v="507.94"/>
    <s v="292 Main St"/>
    <x v="1"/>
    <x v="1"/>
    <s v="TRK88749996"/>
    <n v="9"/>
    <x v="2"/>
    <x v="3"/>
    <n v="2539.6999999999998"/>
    <n v="2539.6999999999998"/>
  </r>
  <r>
    <x v="1145"/>
    <x v="275"/>
    <x v="2"/>
    <s v="Q2"/>
    <s v="C28152"/>
    <x v="6"/>
    <n v="3"/>
    <n v="571.53"/>
    <s v="821 Main St"/>
    <x v="0"/>
    <x v="3"/>
    <s v="TRK59642814"/>
    <n v="6"/>
    <x v="1"/>
    <x v="3"/>
    <n v="1714.59"/>
    <n v="1714.59"/>
  </r>
  <r>
    <x v="1146"/>
    <x v="525"/>
    <x v="1"/>
    <s v="Q4"/>
    <s v="C36383"/>
    <x v="0"/>
    <n v="5"/>
    <n v="421.44"/>
    <s v="286 Main St"/>
    <x v="4"/>
    <x v="4"/>
    <s v="TRK93336357"/>
    <n v="5"/>
    <x v="0"/>
    <x v="0"/>
    <n v="2107.1999999999998"/>
    <n v="2107.1999999999998"/>
  </r>
  <r>
    <x v="1147"/>
    <x v="143"/>
    <x v="2"/>
    <s v="Q1"/>
    <s v="C19759"/>
    <x v="3"/>
    <n v="2"/>
    <n v="588.29999999999995"/>
    <s v="234 Main St"/>
    <x v="1"/>
    <x v="4"/>
    <s v="TRK22515454"/>
    <n v="2"/>
    <x v="1"/>
    <x v="2"/>
    <n v="1176.5999999999999"/>
    <n v="1176.5999999999999"/>
  </r>
  <r>
    <x v="1148"/>
    <x v="611"/>
    <x v="1"/>
    <s v="Q2"/>
    <s v="C54886"/>
    <x v="1"/>
    <n v="1"/>
    <n v="355.15"/>
    <s v="442 Main St"/>
    <x v="4"/>
    <x v="2"/>
    <s v="TRK66241930"/>
    <n v="2"/>
    <x v="0"/>
    <x v="2"/>
    <n v="355.15"/>
    <n v="355.15"/>
  </r>
  <r>
    <x v="1149"/>
    <x v="568"/>
    <x v="1"/>
    <s v="Q3"/>
    <s v="C27305"/>
    <x v="3"/>
    <n v="2"/>
    <n v="695.29"/>
    <s v="957 Main St"/>
    <x v="2"/>
    <x v="4"/>
    <s v="TRK28789916"/>
    <n v="6"/>
    <x v="1"/>
    <x v="0"/>
    <n v="1390.58"/>
    <n v="1390.58"/>
  </r>
  <r>
    <x v="1150"/>
    <x v="215"/>
    <x v="0"/>
    <s v="Q1"/>
    <s v="C17921"/>
    <x v="6"/>
    <n v="4"/>
    <n v="302.64999999999998"/>
    <s v="119 Main St"/>
    <x v="2"/>
    <x v="1"/>
    <s v="TRK79291524"/>
    <n v="8"/>
    <x v="0"/>
    <x v="1"/>
    <n v="1210.5999999999999"/>
    <n v="1210.5999999999999"/>
  </r>
  <r>
    <x v="1151"/>
    <x v="22"/>
    <x v="0"/>
    <s v="Q1"/>
    <s v="C94381"/>
    <x v="3"/>
    <n v="2"/>
    <n v="608.04"/>
    <s v="962 Main St"/>
    <x v="4"/>
    <x v="1"/>
    <s v="TRK69804304"/>
    <n v="4"/>
    <x v="2"/>
    <x v="4"/>
    <n v="1216.08"/>
    <n v="1216.08"/>
  </r>
  <r>
    <x v="1152"/>
    <x v="576"/>
    <x v="0"/>
    <s v="Q4"/>
    <s v="C25162"/>
    <x v="2"/>
    <n v="2"/>
    <n v="344.18"/>
    <s v="533 Main St"/>
    <x v="2"/>
    <x v="0"/>
    <s v="TRK42183078"/>
    <n v="7"/>
    <x v="2"/>
    <x v="1"/>
    <n v="688.36"/>
    <n v="688.36"/>
  </r>
  <r>
    <x v="1153"/>
    <x v="393"/>
    <x v="1"/>
    <s v="Q4"/>
    <s v="C98317"/>
    <x v="0"/>
    <n v="4"/>
    <n v="696.71"/>
    <s v="276 Main St"/>
    <x v="0"/>
    <x v="0"/>
    <s v="TRK37172138"/>
    <n v="4"/>
    <x v="2"/>
    <x v="0"/>
    <n v="2786.84"/>
    <n v="2786.84"/>
  </r>
  <r>
    <x v="1154"/>
    <x v="113"/>
    <x v="2"/>
    <s v="Q2"/>
    <s v="C53631"/>
    <x v="0"/>
    <n v="3"/>
    <n v="198.63"/>
    <s v="593 Main St"/>
    <x v="4"/>
    <x v="4"/>
    <s v="TRK67589167"/>
    <n v="8"/>
    <x v="0"/>
    <x v="0"/>
    <n v="595.89"/>
    <n v="595.89"/>
  </r>
  <r>
    <x v="1155"/>
    <x v="340"/>
    <x v="0"/>
    <s v="Q3"/>
    <s v="C41478"/>
    <x v="4"/>
    <n v="4"/>
    <n v="534.57000000000005"/>
    <s v="667 Main St"/>
    <x v="2"/>
    <x v="3"/>
    <s v="TRK62068126"/>
    <n v="6"/>
    <x v="1"/>
    <x v="3"/>
    <n v="2138.2800000000002"/>
    <n v="2138.2800000000002"/>
  </r>
  <r>
    <x v="1156"/>
    <x v="45"/>
    <x v="0"/>
    <s v="Q3"/>
    <s v="C20512"/>
    <x v="5"/>
    <n v="4"/>
    <n v="690.78"/>
    <s v="980 Main St"/>
    <x v="2"/>
    <x v="0"/>
    <s v="TRK98234737"/>
    <n v="9"/>
    <x v="2"/>
    <x v="1"/>
    <n v="2763.12"/>
    <n v="2763.12"/>
  </r>
  <r>
    <x v="1157"/>
    <x v="382"/>
    <x v="1"/>
    <s v="Q2"/>
    <s v="C25841"/>
    <x v="0"/>
    <n v="3"/>
    <n v="301.55"/>
    <s v="242 Main St"/>
    <x v="0"/>
    <x v="3"/>
    <s v="TRK21451375"/>
    <n v="5"/>
    <x v="1"/>
    <x v="4"/>
    <n v="904.65"/>
    <n v="904.65"/>
  </r>
  <r>
    <x v="1158"/>
    <x v="197"/>
    <x v="0"/>
    <s v="Q2"/>
    <s v="C82781"/>
    <x v="0"/>
    <n v="4"/>
    <n v="27.42"/>
    <s v="661 Main St"/>
    <x v="0"/>
    <x v="4"/>
    <s v="TRK20605418"/>
    <n v="4"/>
    <x v="0"/>
    <x v="1"/>
    <n v="109.68"/>
    <n v="109.68"/>
  </r>
  <r>
    <x v="1159"/>
    <x v="203"/>
    <x v="1"/>
    <s v="Q1"/>
    <s v="C66112"/>
    <x v="6"/>
    <n v="4"/>
    <n v="466.7"/>
    <s v="874 Main St"/>
    <x v="0"/>
    <x v="2"/>
    <s v="TRK60955607"/>
    <n v="8"/>
    <x v="2"/>
    <x v="0"/>
    <n v="1866.8"/>
    <n v="1866.8"/>
  </r>
  <r>
    <x v="1160"/>
    <x v="333"/>
    <x v="1"/>
    <s v="Q3"/>
    <s v="C40466"/>
    <x v="6"/>
    <n v="1"/>
    <n v="541.64"/>
    <s v="449 Main St"/>
    <x v="0"/>
    <x v="0"/>
    <s v="TRK70255168"/>
    <n v="5"/>
    <x v="0"/>
    <x v="2"/>
    <n v="541.64"/>
    <n v="541.64"/>
  </r>
  <r>
    <x v="1161"/>
    <x v="504"/>
    <x v="0"/>
    <s v="Q4"/>
    <s v="C32570"/>
    <x v="1"/>
    <n v="1"/>
    <n v="11.39"/>
    <s v="826 Main St"/>
    <x v="4"/>
    <x v="1"/>
    <s v="TRK35969968"/>
    <n v="6"/>
    <x v="3"/>
    <x v="2"/>
    <n v="11.39"/>
    <n v="11.39"/>
  </r>
  <r>
    <x v="1162"/>
    <x v="660"/>
    <x v="2"/>
    <s v="Q1"/>
    <s v="C29405"/>
    <x v="1"/>
    <n v="2"/>
    <n v="224.37"/>
    <s v="251 Main St"/>
    <x v="0"/>
    <x v="3"/>
    <s v="TRK33125798"/>
    <n v="3"/>
    <x v="3"/>
    <x v="1"/>
    <n v="448.74"/>
    <n v="448.74"/>
  </r>
  <r>
    <x v="1163"/>
    <x v="184"/>
    <x v="1"/>
    <s v="Q2"/>
    <s v="C30643"/>
    <x v="5"/>
    <n v="3"/>
    <n v="306.29000000000002"/>
    <s v="966 Main St"/>
    <x v="2"/>
    <x v="2"/>
    <s v="TRK19477485"/>
    <n v="7"/>
    <x v="3"/>
    <x v="0"/>
    <n v="918.87"/>
    <n v="918.87"/>
  </r>
  <r>
    <x v="1164"/>
    <x v="649"/>
    <x v="1"/>
    <s v="Q1"/>
    <s v="C65890"/>
    <x v="2"/>
    <n v="5"/>
    <n v="315.57"/>
    <s v="340 Main St"/>
    <x v="0"/>
    <x v="3"/>
    <s v="TRK64530489"/>
    <n v="6"/>
    <x v="3"/>
    <x v="2"/>
    <n v="1577.85"/>
    <n v="1577.85"/>
  </r>
  <r>
    <x v="1165"/>
    <x v="328"/>
    <x v="0"/>
    <s v="Q3"/>
    <s v="C36992"/>
    <x v="3"/>
    <n v="3"/>
    <n v="223.79"/>
    <s v="617 Main St"/>
    <x v="0"/>
    <x v="4"/>
    <s v="TRK63460217"/>
    <n v="3"/>
    <x v="2"/>
    <x v="4"/>
    <n v="671.37"/>
    <n v="671.37"/>
  </r>
  <r>
    <x v="1166"/>
    <x v="48"/>
    <x v="0"/>
    <s v="Q3"/>
    <s v="C95568"/>
    <x v="3"/>
    <n v="3"/>
    <n v="324.47000000000003"/>
    <s v="971 Main St"/>
    <x v="4"/>
    <x v="3"/>
    <s v="TRK37075292"/>
    <n v="4"/>
    <x v="3"/>
    <x v="2"/>
    <n v="973.41"/>
    <n v="973.41"/>
  </r>
  <r>
    <x v="1167"/>
    <x v="661"/>
    <x v="0"/>
    <s v="Q4"/>
    <s v="C17966"/>
    <x v="4"/>
    <n v="2"/>
    <n v="92.87"/>
    <s v="360 Main St"/>
    <x v="2"/>
    <x v="4"/>
    <s v="TRK31169396"/>
    <n v="5"/>
    <x v="1"/>
    <x v="3"/>
    <n v="185.74"/>
    <n v="185.74"/>
  </r>
  <r>
    <x v="1168"/>
    <x v="505"/>
    <x v="0"/>
    <s v="Q2"/>
    <s v="C89559"/>
    <x v="5"/>
    <n v="2"/>
    <n v="331.42"/>
    <s v="297 Main St"/>
    <x v="2"/>
    <x v="3"/>
    <s v="TRK82838108"/>
    <n v="6"/>
    <x v="3"/>
    <x v="4"/>
    <n v="662.84"/>
    <n v="662.84"/>
  </r>
  <r>
    <x v="1169"/>
    <x v="662"/>
    <x v="1"/>
    <s v="Q4"/>
    <s v="C15849"/>
    <x v="3"/>
    <n v="1"/>
    <n v="525.42999999999995"/>
    <s v="643 Main St"/>
    <x v="4"/>
    <x v="1"/>
    <s v="TRK26794546"/>
    <n v="2"/>
    <x v="0"/>
    <x v="0"/>
    <n v="525.42999999999995"/>
    <n v="525.42999999999995"/>
  </r>
  <r>
    <x v="1170"/>
    <x v="567"/>
    <x v="0"/>
    <s v="Q3"/>
    <s v="C94257"/>
    <x v="4"/>
    <n v="2"/>
    <n v="697.19"/>
    <s v="762 Main St"/>
    <x v="4"/>
    <x v="2"/>
    <s v="TRK40220743"/>
    <n v="7"/>
    <x v="1"/>
    <x v="2"/>
    <n v="1394.38"/>
    <n v="1394.38"/>
  </r>
  <r>
    <x v="1171"/>
    <x v="81"/>
    <x v="0"/>
    <s v="Q3"/>
    <s v="C39911"/>
    <x v="1"/>
    <n v="4"/>
    <n v="518.4"/>
    <s v="699 Main St"/>
    <x v="2"/>
    <x v="3"/>
    <s v="TRK80431998"/>
    <n v="7"/>
    <x v="0"/>
    <x v="3"/>
    <n v="2073.6"/>
    <n v="2073.6"/>
  </r>
  <r>
    <x v="1172"/>
    <x v="496"/>
    <x v="2"/>
    <s v="Q1"/>
    <s v="C28828"/>
    <x v="6"/>
    <n v="3"/>
    <n v="131.96"/>
    <s v="745 Main St"/>
    <x v="2"/>
    <x v="4"/>
    <s v="TRK32550359"/>
    <n v="8"/>
    <x v="2"/>
    <x v="0"/>
    <n v="395.88"/>
    <n v="395.88"/>
  </r>
  <r>
    <x v="1173"/>
    <x v="449"/>
    <x v="1"/>
    <s v="Q4"/>
    <s v="C82921"/>
    <x v="0"/>
    <n v="1"/>
    <n v="208.36"/>
    <s v="703 Main St"/>
    <x v="1"/>
    <x v="0"/>
    <s v="TRK31079911"/>
    <n v="4"/>
    <x v="1"/>
    <x v="2"/>
    <n v="208.36"/>
    <n v="208.36"/>
  </r>
  <r>
    <x v="1174"/>
    <x v="110"/>
    <x v="0"/>
    <s v="Q4"/>
    <s v="C50159"/>
    <x v="4"/>
    <n v="3"/>
    <n v="222.34"/>
    <s v="105 Main St"/>
    <x v="2"/>
    <x v="2"/>
    <s v="TRK53737452"/>
    <n v="5"/>
    <x v="3"/>
    <x v="2"/>
    <n v="667.02"/>
    <n v="667.02"/>
  </r>
  <r>
    <x v="1175"/>
    <x v="663"/>
    <x v="1"/>
    <s v="Q3"/>
    <s v="C62512"/>
    <x v="4"/>
    <n v="3"/>
    <n v="91.74"/>
    <s v="368 Main St"/>
    <x v="0"/>
    <x v="2"/>
    <s v="TRK24139954"/>
    <n v="8"/>
    <x v="1"/>
    <x v="1"/>
    <n v="275.22000000000003"/>
    <n v="275.22000000000003"/>
  </r>
  <r>
    <x v="1176"/>
    <x v="340"/>
    <x v="0"/>
    <s v="Q3"/>
    <s v="C39260"/>
    <x v="2"/>
    <n v="2"/>
    <n v="213.83"/>
    <s v="374 Main St"/>
    <x v="0"/>
    <x v="1"/>
    <s v="TRK55587314"/>
    <n v="2"/>
    <x v="3"/>
    <x v="2"/>
    <n v="427.66"/>
    <n v="427.66"/>
  </r>
  <r>
    <x v="1177"/>
    <x v="664"/>
    <x v="0"/>
    <s v="Q2"/>
    <s v="C23917"/>
    <x v="4"/>
    <n v="1"/>
    <n v="127.55"/>
    <s v="433 Main St"/>
    <x v="4"/>
    <x v="0"/>
    <s v="TRK44434536"/>
    <n v="3"/>
    <x v="0"/>
    <x v="1"/>
    <n v="127.55"/>
    <n v="127.55"/>
  </r>
  <r>
    <x v="1178"/>
    <x v="50"/>
    <x v="1"/>
    <s v="Q3"/>
    <s v="C65107"/>
    <x v="0"/>
    <n v="1"/>
    <n v="70.239999999999995"/>
    <s v="456 Main St"/>
    <x v="2"/>
    <x v="1"/>
    <s v="TRK10261578"/>
    <n v="4"/>
    <x v="1"/>
    <x v="4"/>
    <n v="70.239999999999995"/>
    <n v="70.239999999999995"/>
  </r>
  <r>
    <x v="1179"/>
    <x v="124"/>
    <x v="0"/>
    <s v="Q1"/>
    <s v="C84630"/>
    <x v="5"/>
    <n v="5"/>
    <n v="518.54999999999995"/>
    <s v="907 Main St"/>
    <x v="2"/>
    <x v="1"/>
    <s v="TRK48054997"/>
    <n v="6"/>
    <x v="3"/>
    <x v="0"/>
    <n v="2592.75"/>
    <n v="2592.75"/>
  </r>
  <r>
    <x v="1180"/>
    <x v="150"/>
    <x v="0"/>
    <s v="Q4"/>
    <s v="C42235"/>
    <x v="3"/>
    <n v="4"/>
    <n v="298.36"/>
    <s v="722 Main St"/>
    <x v="0"/>
    <x v="4"/>
    <s v="TRK49379882"/>
    <n v="8"/>
    <x v="1"/>
    <x v="4"/>
    <n v="1193.44"/>
    <n v="1193.44"/>
  </r>
  <r>
    <x v="1181"/>
    <x v="152"/>
    <x v="0"/>
    <s v="Q3"/>
    <s v="C70246"/>
    <x v="6"/>
    <n v="3"/>
    <n v="158.74"/>
    <s v="293 Main St"/>
    <x v="1"/>
    <x v="4"/>
    <s v="TRK45708320"/>
    <n v="7"/>
    <x v="1"/>
    <x v="0"/>
    <n v="476.22"/>
    <n v="476.22"/>
  </r>
  <r>
    <x v="1182"/>
    <x v="554"/>
    <x v="2"/>
    <s v="Q2"/>
    <s v="C18473"/>
    <x v="3"/>
    <n v="2"/>
    <n v="420.29"/>
    <s v="700 Main St"/>
    <x v="3"/>
    <x v="2"/>
    <s v="TRK97834202"/>
    <n v="3"/>
    <x v="0"/>
    <x v="4"/>
    <n v="840.58"/>
    <n v="840.58"/>
  </r>
  <r>
    <x v="1183"/>
    <x v="228"/>
    <x v="0"/>
    <s v="Q2"/>
    <s v="C12607"/>
    <x v="6"/>
    <n v="1"/>
    <n v="281.52"/>
    <s v="460 Main St"/>
    <x v="3"/>
    <x v="0"/>
    <s v="TRK83653396"/>
    <n v="6"/>
    <x v="3"/>
    <x v="1"/>
    <n v="281.52"/>
    <n v="281.52"/>
  </r>
  <r>
    <x v="1184"/>
    <x v="610"/>
    <x v="0"/>
    <s v="Q3"/>
    <s v="C10222"/>
    <x v="5"/>
    <n v="1"/>
    <n v="204.08"/>
    <s v="979 Main St"/>
    <x v="3"/>
    <x v="2"/>
    <s v="TRK86297895"/>
    <n v="4"/>
    <x v="2"/>
    <x v="4"/>
    <n v="204.08"/>
    <n v="204.08"/>
  </r>
  <r>
    <x v="1185"/>
    <x v="665"/>
    <x v="1"/>
    <s v="Q3"/>
    <s v="C77344"/>
    <x v="3"/>
    <n v="1"/>
    <n v="343.31"/>
    <s v="777 Main St"/>
    <x v="3"/>
    <x v="2"/>
    <s v="TRK20605055"/>
    <n v="6"/>
    <x v="0"/>
    <x v="4"/>
    <n v="343.31"/>
    <n v="343.31"/>
  </r>
  <r>
    <x v="1186"/>
    <x v="134"/>
    <x v="0"/>
    <s v="Q4"/>
    <s v="C65497"/>
    <x v="0"/>
    <n v="1"/>
    <n v="163.32"/>
    <s v="676 Main St"/>
    <x v="4"/>
    <x v="0"/>
    <s v="TRK83702761"/>
    <n v="6"/>
    <x v="3"/>
    <x v="3"/>
    <n v="163.32"/>
    <n v="163.32"/>
  </r>
  <r>
    <x v="1187"/>
    <x v="206"/>
    <x v="1"/>
    <s v="Q1"/>
    <s v="C26340"/>
    <x v="6"/>
    <n v="2"/>
    <n v="184.6"/>
    <s v="562 Main St"/>
    <x v="3"/>
    <x v="3"/>
    <s v="TRK59962703"/>
    <n v="7"/>
    <x v="3"/>
    <x v="2"/>
    <n v="369.2"/>
    <n v="369.2"/>
  </r>
  <r>
    <x v="1188"/>
    <x v="47"/>
    <x v="0"/>
    <s v="Q4"/>
    <s v="C75619"/>
    <x v="4"/>
    <n v="2"/>
    <n v="371.29"/>
    <s v="924 Main St"/>
    <x v="3"/>
    <x v="0"/>
    <s v="TRK23086941"/>
    <n v="5"/>
    <x v="3"/>
    <x v="3"/>
    <n v="742.58"/>
    <n v="742.58"/>
  </r>
  <r>
    <x v="1189"/>
    <x v="666"/>
    <x v="1"/>
    <s v="Q3"/>
    <s v="C96136"/>
    <x v="2"/>
    <n v="5"/>
    <n v="389.22"/>
    <s v="149 Main St"/>
    <x v="4"/>
    <x v="1"/>
    <s v="TRK60856682"/>
    <n v="7"/>
    <x v="2"/>
    <x v="1"/>
    <n v="1946.1"/>
    <n v="1946.1"/>
  </r>
  <r>
    <x v="1190"/>
    <x v="647"/>
    <x v="2"/>
    <s v="Q2"/>
    <s v="C46886"/>
    <x v="6"/>
    <n v="3"/>
    <n v="616.39"/>
    <s v="754 Main St"/>
    <x v="2"/>
    <x v="0"/>
    <s v="TRK82791646"/>
    <n v="6"/>
    <x v="1"/>
    <x v="0"/>
    <n v="1849.17"/>
    <n v="1849.17"/>
  </r>
  <r>
    <x v="1191"/>
    <x v="441"/>
    <x v="2"/>
    <s v="Q1"/>
    <s v="C44148"/>
    <x v="6"/>
    <n v="4"/>
    <n v="376.43"/>
    <s v="809 Main St"/>
    <x v="3"/>
    <x v="4"/>
    <s v="TRK67872709"/>
    <n v="5"/>
    <x v="3"/>
    <x v="0"/>
    <n v="1505.72"/>
    <n v="1505.72"/>
  </r>
  <r>
    <x v="1192"/>
    <x v="329"/>
    <x v="1"/>
    <s v="Q1"/>
    <s v="C72007"/>
    <x v="3"/>
    <n v="3"/>
    <n v="432.85"/>
    <s v="999 Main St"/>
    <x v="1"/>
    <x v="4"/>
    <s v="TRK16240916"/>
    <n v="4"/>
    <x v="2"/>
    <x v="0"/>
    <n v="1298.55"/>
    <n v="1298.55"/>
  </r>
  <r>
    <x v="1193"/>
    <x v="667"/>
    <x v="2"/>
    <s v="Q2"/>
    <s v="C45104"/>
    <x v="2"/>
    <n v="1"/>
    <n v="687.89"/>
    <s v="348 Main St"/>
    <x v="4"/>
    <x v="2"/>
    <s v="TRK38559816"/>
    <n v="1"/>
    <x v="1"/>
    <x v="2"/>
    <n v="687.89"/>
    <n v="687.89"/>
  </r>
  <r>
    <x v="1194"/>
    <x v="614"/>
    <x v="0"/>
    <s v="Q4"/>
    <s v="C29885"/>
    <x v="4"/>
    <n v="3"/>
    <n v="189.44"/>
    <s v="725 Main St"/>
    <x v="4"/>
    <x v="4"/>
    <s v="TRK62067865"/>
    <n v="4"/>
    <x v="1"/>
    <x v="2"/>
    <n v="568.32000000000005"/>
    <n v="568.32000000000005"/>
  </r>
  <r>
    <x v="1195"/>
    <x v="643"/>
    <x v="1"/>
    <s v="Q2"/>
    <s v="C21126"/>
    <x v="6"/>
    <n v="1"/>
    <n v="107.04"/>
    <s v="392 Main St"/>
    <x v="2"/>
    <x v="1"/>
    <s v="TRK38009181"/>
    <n v="6"/>
    <x v="1"/>
    <x v="4"/>
    <n v="107.04"/>
    <n v="107.04"/>
  </r>
  <r>
    <x v="1196"/>
    <x v="668"/>
    <x v="1"/>
    <s v="Q1"/>
    <s v="C20095"/>
    <x v="0"/>
    <n v="2"/>
    <n v="662.53"/>
    <s v="778 Main St"/>
    <x v="1"/>
    <x v="1"/>
    <s v="TRK69207593"/>
    <n v="5"/>
    <x v="2"/>
    <x v="3"/>
    <n v="1325.06"/>
    <n v="1325.06"/>
  </r>
  <r>
    <x v="1197"/>
    <x v="669"/>
    <x v="0"/>
    <s v="Q3"/>
    <s v="C79674"/>
    <x v="2"/>
    <n v="2"/>
    <n v="436.84"/>
    <s v="275 Main St"/>
    <x v="1"/>
    <x v="3"/>
    <s v="TRK88039356"/>
    <n v="2"/>
    <x v="1"/>
    <x v="0"/>
    <n v="873.68"/>
    <n v="873.68"/>
  </r>
  <r>
    <x v="1198"/>
    <x v="670"/>
    <x v="1"/>
    <s v="Q3"/>
    <s v="C64753"/>
    <x v="3"/>
    <n v="4"/>
    <n v="262.52"/>
    <s v="509 Main St"/>
    <x v="0"/>
    <x v="1"/>
    <s v="TRK71683331"/>
    <n v="4"/>
    <x v="3"/>
    <x v="0"/>
    <n v="1050.08"/>
    <n v="1050.08"/>
  </r>
  <r>
    <x v="1199"/>
    <x v="236"/>
    <x v="0"/>
    <s v="Q2"/>
    <s v="C57502"/>
    <x v="2"/>
    <n v="4"/>
    <n v="560.58000000000004"/>
    <s v="201 Main St"/>
    <x v="3"/>
    <x v="2"/>
    <s v="TRK51116746"/>
    <n v="6"/>
    <x v="0"/>
    <x v="1"/>
    <n v="2242.3200000000002"/>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A480C-5C84-45A7-82A4-A7650E338BFD}"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A3:B11"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8">
    <i>
      <x v="5"/>
    </i>
    <i>
      <x v="6"/>
    </i>
    <i>
      <x/>
    </i>
    <i>
      <x v="2"/>
    </i>
    <i>
      <x v="1"/>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0AA05-82E0-4C71-A12B-C85576831F31}"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taus">
  <location ref="A3:B9"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3"/>
    </i>
    <i>
      <x v="2"/>
    </i>
    <i>
      <x v="4"/>
    </i>
    <i>
      <x v="1"/>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7AA8EE-6822-4450-B609-29848090E33C}"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location ref="A3:B9"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v="3"/>
    </i>
    <i>
      <x/>
    </i>
    <i>
      <x v="2"/>
    </i>
    <i>
      <x v="1"/>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702F47-F014-43D4-AEEF-83646F914E7F}"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pon">
  <location ref="A3:B8"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5">
    <i>
      <x/>
    </i>
    <i>
      <x v="3"/>
    </i>
    <i>
      <x v="2"/>
    </i>
    <i>
      <x v="1"/>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E03874-94DD-4BA9-B803-AE701105F279}"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location ref="A3:B9" firstHeaderRow="1" firstDataRow="1" firstDataCol="1"/>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v="4"/>
    </i>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9C027C-225C-40FC-A2BC-862C04325FAC}"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location ref="A3:B4" firstHeaderRow="0" firstDataRow="1" firstDataCol="0"/>
  <pivotFields count="19">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8">
        <item x="3"/>
        <item x="6"/>
        <item x="5"/>
        <item x="0"/>
        <item x="1"/>
        <item x="4"/>
        <item x="2"/>
        <item t="default"/>
      </items>
    </pivotField>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Count of OrderID" fld="0" subtotal="count" baseField="0" baseItem="0"/>
    <dataField name="Sum of TotalPric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4775BA-34EC-4FA3-9557-4729AD9DDFAA}"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ate">
  <location ref="A3:B17"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4" showAll="0">
      <items count="15">
        <item x="0"/>
        <item x="1"/>
        <item x="2"/>
        <item x="3"/>
        <item x="4"/>
        <item x="5"/>
        <item x="6"/>
        <item x="7"/>
        <item x="8"/>
        <item x="9"/>
        <item x="10"/>
        <item x="11"/>
        <item x="12"/>
        <item x="13"/>
        <item t="default"/>
      </items>
    </pivotField>
    <pivotField showAll="0">
      <items count="4">
        <item x="0"/>
        <item x="1"/>
        <item x="2"/>
        <item t="default"/>
      </items>
    </pivotField>
    <pivotField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0"/>
        <item x="3"/>
        <item x="2"/>
        <item t="default"/>
      </items>
    </pivotField>
    <pivotField showAll="0">
      <items count="6">
        <item x="2"/>
        <item x="3"/>
        <item x="4"/>
        <item x="0"/>
        <item x="1"/>
        <item t="default"/>
      </items>
    </pivotField>
    <pivotField dataField="1" showAll="0"/>
    <pivotField showAll="0"/>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8"/>
    <field x="17"/>
    <field x="1"/>
  </rowFields>
  <rowItems count="14">
    <i>
      <x v="1"/>
    </i>
    <i r="1">
      <x v="1"/>
    </i>
    <i r="1">
      <x v="2"/>
    </i>
    <i r="1">
      <x v="3"/>
    </i>
    <i r="1">
      <x v="4"/>
    </i>
    <i>
      <x v="2"/>
    </i>
    <i r="1">
      <x v="1"/>
    </i>
    <i r="1">
      <x v="2"/>
    </i>
    <i r="1">
      <x v="3"/>
    </i>
    <i r="1">
      <x v="4"/>
    </i>
    <i>
      <x v="3"/>
    </i>
    <i r="1">
      <x v="1"/>
    </i>
    <i r="1">
      <x v="2"/>
    </i>
    <i t="grand">
      <x/>
    </i>
  </rowItems>
  <colItems count="1">
    <i/>
  </colItems>
  <dataFields count="1">
    <dataField name="Sum of TotalPrice" fld="15" baseField="0" baseItem="0" numFmtId="43"/>
  </dataFields>
  <formats count="2">
    <format dxfId="31">
      <pivotArea outline="0" collapsedLevelsAreSubtotals="1" fieldPosition="0"/>
    </format>
    <format dxfId="3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57A1F9-D844-472D-979A-6A163F5F9BF7}" sourceName="Year">
  <pivotTables>
    <pivotTable tabId="10" name="PivotTable7"/>
  </pivotTables>
  <data>
    <tabular pivotCacheId="10105512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CC8038-572E-4A97-938B-433BBBED16C3}"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5" totalsRowShown="0">
  <autoFilter ref="A1:F5" xr:uid="{00000000-0009-0000-0100-000001000000}"/>
  <tableColumns count="6">
    <tableColumn id="1" xr3:uid="{00000000-0010-0000-0000-000001000000}" name="Metric"/>
    <tableColumn id="2" xr3:uid="{00000000-0010-0000-0000-000002000000}" name="Mean" dataDxfId="34"/>
    <tableColumn id="3" xr3:uid="{00000000-0010-0000-0000-000003000000}" name="Median" dataDxfId="33"/>
    <tableColumn id="4" xr3:uid="{00000000-0010-0000-0000-000004000000}" name="Std dev" dataDxfId="32">
      <calculatedColumnFormula>_xlfn.STDEV.S('Dataset for Data Analytics - cl'!G2:G1200)</calculatedColumnFormula>
    </tableColumn>
    <tableColumn id="5" xr3:uid="{00000000-0010-0000-0000-000005000000}" name="Min"/>
    <tableColumn id="6" xr3:uid="{00000000-0010-0000-0000-000006000000}" name="Ma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01"/>
  <sheetViews>
    <sheetView topLeftCell="K1" workbookViewId="0">
      <selection activeCell="V12" sqref="V12"/>
    </sheetView>
  </sheetViews>
  <sheetFormatPr defaultRowHeight="15" x14ac:dyDescent="0.25"/>
  <cols>
    <col min="1" max="1" width="15" customWidth="1"/>
    <col min="2" max="2" width="12.7109375" customWidth="1"/>
    <col min="3" max="3" width="11.140625" customWidth="1"/>
    <col min="5" max="5" width="12.42578125" customWidth="1"/>
    <col min="7" max="7" width="10.42578125" customWidth="1"/>
    <col min="8" max="8" width="11.85546875" customWidth="1"/>
    <col min="9" max="9" width="13.28515625" customWidth="1"/>
    <col min="10" max="10" width="14.42578125" customWidth="1"/>
    <col min="11" max="11" width="14.140625" customWidth="1"/>
    <col min="12" max="12" width="13.42578125" customWidth="1"/>
    <col min="13" max="13" width="10.85546875" customWidth="1"/>
    <col min="14" max="14" width="11.7109375" customWidth="1"/>
    <col min="15" max="15" width="12.42578125" customWidth="1"/>
    <col min="16" max="16" width="11.85546875" customWidth="1"/>
    <col min="17" max="17" width="13.85546875" customWidth="1"/>
    <col min="18" max="18" width="14.5703125" customWidth="1"/>
    <col min="21" max="21" width="15.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4317</v>
      </c>
    </row>
    <row r="2" spans="1:21" x14ac:dyDescent="0.25">
      <c r="A2" t="s">
        <v>17</v>
      </c>
      <c r="B2" s="1">
        <v>44930</v>
      </c>
      <c r="C2">
        <v>2023</v>
      </c>
      <c r="D2" t="s">
        <v>18</v>
      </c>
      <c r="E2" t="s">
        <v>19</v>
      </c>
      <c r="F2" t="s">
        <v>20</v>
      </c>
      <c r="G2">
        <v>5</v>
      </c>
      <c r="H2">
        <v>570.62</v>
      </c>
      <c r="I2" t="s">
        <v>21</v>
      </c>
      <c r="J2" t="s">
        <v>22</v>
      </c>
      <c r="K2" t="s">
        <v>23</v>
      </c>
      <c r="L2" t="s">
        <v>24</v>
      </c>
      <c r="M2">
        <v>7</v>
      </c>
      <c r="N2" t="s">
        <v>25</v>
      </c>
      <c r="O2" t="s">
        <v>26</v>
      </c>
      <c r="P2">
        <v>2853.1</v>
      </c>
      <c r="Q2">
        <v>2853.1</v>
      </c>
      <c r="R2" t="str">
        <f>IF(OR(P2&lt;Outliers!$B$5, P2&gt;Outliers!$B$6), "outliers", "")</f>
        <v/>
      </c>
    </row>
    <row r="3" spans="1:21" x14ac:dyDescent="0.25">
      <c r="A3" t="s">
        <v>27</v>
      </c>
      <c r="B3" s="1">
        <v>45527</v>
      </c>
      <c r="C3">
        <v>2024</v>
      </c>
      <c r="D3" t="s">
        <v>28</v>
      </c>
      <c r="E3" t="s">
        <v>29</v>
      </c>
      <c r="F3" t="s">
        <v>30</v>
      </c>
      <c r="G3">
        <v>2</v>
      </c>
      <c r="H3">
        <v>151.35</v>
      </c>
      <c r="I3" t="s">
        <v>31</v>
      </c>
      <c r="J3" t="s">
        <v>32</v>
      </c>
      <c r="K3" t="s">
        <v>23</v>
      </c>
      <c r="L3" t="s">
        <v>33</v>
      </c>
      <c r="M3">
        <v>3</v>
      </c>
      <c r="N3" t="s">
        <v>25</v>
      </c>
      <c r="O3" t="s">
        <v>34</v>
      </c>
      <c r="P3">
        <v>302.7</v>
      </c>
      <c r="Q3">
        <v>302.7</v>
      </c>
      <c r="R3" t="str">
        <f>IF(OR(P3&lt;Outliers!$B$5, P3&gt;Outliers!$B$6), "outliers", "")</f>
        <v/>
      </c>
      <c r="U3">
        <f>SUM(P2:P1201)</f>
        <v>1264761.9600000004</v>
      </c>
    </row>
    <row r="4" spans="1:21" x14ac:dyDescent="0.25">
      <c r="A4" t="s">
        <v>35</v>
      </c>
      <c r="B4" s="1">
        <v>45349</v>
      </c>
      <c r="C4">
        <v>2024</v>
      </c>
      <c r="D4" t="s">
        <v>18</v>
      </c>
      <c r="E4" t="s">
        <v>36</v>
      </c>
      <c r="F4" t="s">
        <v>37</v>
      </c>
      <c r="G4">
        <v>5</v>
      </c>
      <c r="H4">
        <v>550.67999999999995</v>
      </c>
      <c r="I4" t="s">
        <v>38</v>
      </c>
      <c r="J4" t="s">
        <v>39</v>
      </c>
      <c r="K4" t="s">
        <v>40</v>
      </c>
      <c r="L4" t="s">
        <v>41</v>
      </c>
      <c r="M4">
        <v>8</v>
      </c>
      <c r="N4" t="s">
        <v>42</v>
      </c>
      <c r="O4" t="s">
        <v>43</v>
      </c>
      <c r="P4">
        <v>2753.4</v>
      </c>
      <c r="Q4">
        <v>2753.4</v>
      </c>
      <c r="R4" t="str">
        <f>IF(OR(P4&lt;Outliers!$B$5, P4&gt;Outliers!$B$6), "outliers", "")</f>
        <v/>
      </c>
      <c r="S4">
        <f>COUNTIF(R2:R1200, "outliers")</f>
        <v>8</v>
      </c>
      <c r="U4">
        <f>COUNT(P2:P1201)</f>
        <v>1200</v>
      </c>
    </row>
    <row r="5" spans="1:21" x14ac:dyDescent="0.25">
      <c r="A5" t="s">
        <v>44</v>
      </c>
      <c r="B5" s="1">
        <v>45214</v>
      </c>
      <c r="C5">
        <v>2023</v>
      </c>
      <c r="D5" t="s">
        <v>45</v>
      </c>
      <c r="E5" t="s">
        <v>46</v>
      </c>
      <c r="F5" t="s">
        <v>47</v>
      </c>
      <c r="G5">
        <v>1</v>
      </c>
      <c r="H5">
        <v>273.19</v>
      </c>
      <c r="I5" t="s">
        <v>48</v>
      </c>
      <c r="J5" t="s">
        <v>22</v>
      </c>
      <c r="K5" t="s">
        <v>49</v>
      </c>
      <c r="L5" t="s">
        <v>50</v>
      </c>
      <c r="M5">
        <v>5</v>
      </c>
      <c r="N5" t="s">
        <v>25</v>
      </c>
      <c r="O5" t="s">
        <v>51</v>
      </c>
      <c r="P5">
        <v>273.19</v>
      </c>
      <c r="Q5">
        <v>273.19</v>
      </c>
      <c r="R5" t="str">
        <f>IF(OR(P5&lt;Outliers!$B$5, P5&gt;Outliers!$B$6), "outliers", "")</f>
        <v/>
      </c>
    </row>
    <row r="6" spans="1:21" x14ac:dyDescent="0.25">
      <c r="A6" t="s">
        <v>52</v>
      </c>
      <c r="B6" s="1">
        <v>45785</v>
      </c>
      <c r="C6">
        <v>2025</v>
      </c>
      <c r="D6" t="s">
        <v>53</v>
      </c>
      <c r="E6" t="s">
        <v>54</v>
      </c>
      <c r="F6" t="s">
        <v>55</v>
      </c>
      <c r="G6">
        <v>4</v>
      </c>
      <c r="H6">
        <v>626.01</v>
      </c>
      <c r="I6" t="s">
        <v>56</v>
      </c>
      <c r="J6" t="s">
        <v>32</v>
      </c>
      <c r="K6" t="s">
        <v>57</v>
      </c>
      <c r="L6" t="s">
        <v>58</v>
      </c>
      <c r="M6">
        <v>8</v>
      </c>
      <c r="N6" t="s">
        <v>25</v>
      </c>
      <c r="O6" t="s">
        <v>43</v>
      </c>
      <c r="P6">
        <v>2504.04</v>
      </c>
      <c r="Q6">
        <v>2504.04</v>
      </c>
      <c r="R6" t="str">
        <f>IF(OR(P6&lt;Outliers!$B$5, P6&gt;Outliers!$B$6), "outliers", "")</f>
        <v/>
      </c>
    </row>
    <row r="7" spans="1:21" x14ac:dyDescent="0.25">
      <c r="A7" t="s">
        <v>59</v>
      </c>
      <c r="B7" s="1">
        <v>45222</v>
      </c>
      <c r="C7">
        <v>2023</v>
      </c>
      <c r="D7" t="s">
        <v>45</v>
      </c>
      <c r="E7" t="s">
        <v>60</v>
      </c>
      <c r="F7" t="s">
        <v>30</v>
      </c>
      <c r="G7">
        <v>2</v>
      </c>
      <c r="H7">
        <v>245.86</v>
      </c>
      <c r="I7" t="s">
        <v>61</v>
      </c>
      <c r="J7" t="s">
        <v>39</v>
      </c>
      <c r="K7" t="s">
        <v>23</v>
      </c>
      <c r="L7" t="s">
        <v>62</v>
      </c>
      <c r="M7">
        <v>4</v>
      </c>
      <c r="N7" t="s">
        <v>25</v>
      </c>
      <c r="O7" t="s">
        <v>26</v>
      </c>
      <c r="P7">
        <v>491.72</v>
      </c>
      <c r="Q7">
        <v>491.72</v>
      </c>
      <c r="R7" t="str">
        <f>IF(OR(P7&lt;Outliers!$B$5, P7&gt;Outliers!$B$6), "outliers", "")</f>
        <v/>
      </c>
    </row>
    <row r="8" spans="1:21" x14ac:dyDescent="0.25">
      <c r="A8" t="s">
        <v>63</v>
      </c>
      <c r="B8" s="1">
        <v>45825</v>
      </c>
      <c r="C8">
        <v>2025</v>
      </c>
      <c r="D8" t="s">
        <v>53</v>
      </c>
      <c r="E8" t="s">
        <v>64</v>
      </c>
      <c r="F8" t="s">
        <v>65</v>
      </c>
      <c r="G8">
        <v>1</v>
      </c>
      <c r="H8">
        <v>664.42</v>
      </c>
      <c r="I8" t="s">
        <v>66</v>
      </c>
      <c r="J8" t="s">
        <v>67</v>
      </c>
      <c r="K8" t="s">
        <v>49</v>
      </c>
      <c r="L8" t="s">
        <v>68</v>
      </c>
      <c r="M8">
        <v>6</v>
      </c>
      <c r="N8" t="s">
        <v>25</v>
      </c>
      <c r="O8" t="s">
        <v>51</v>
      </c>
      <c r="P8">
        <v>664.42</v>
      </c>
      <c r="Q8">
        <v>664.42</v>
      </c>
      <c r="R8" t="str">
        <f>IF(OR(P8&lt;Outliers!$B$5, P8&gt;Outliers!$B$6), "outliers", "")</f>
        <v/>
      </c>
    </row>
    <row r="9" spans="1:21" x14ac:dyDescent="0.25">
      <c r="A9" t="s">
        <v>69</v>
      </c>
      <c r="B9" s="1">
        <v>45058</v>
      </c>
      <c r="C9">
        <v>2023</v>
      </c>
      <c r="D9" t="s">
        <v>53</v>
      </c>
      <c r="E9" t="s">
        <v>70</v>
      </c>
      <c r="F9" t="s">
        <v>20</v>
      </c>
      <c r="G9">
        <v>5</v>
      </c>
      <c r="H9">
        <v>149.55000000000001</v>
      </c>
      <c r="I9" t="s">
        <v>71</v>
      </c>
      <c r="J9" t="s">
        <v>72</v>
      </c>
      <c r="K9" t="s">
        <v>23</v>
      </c>
      <c r="L9" t="s">
        <v>73</v>
      </c>
      <c r="M9">
        <v>9</v>
      </c>
      <c r="N9" t="s">
        <v>42</v>
      </c>
      <c r="O9" t="s">
        <v>51</v>
      </c>
      <c r="P9">
        <v>747.75</v>
      </c>
      <c r="Q9">
        <v>747.75</v>
      </c>
      <c r="R9" t="str">
        <f>IF(OR(P9&lt;Outliers!$B$5, P9&gt;Outliers!$B$6), "outliers", "")</f>
        <v/>
      </c>
    </row>
    <row r="10" spans="1:21" x14ac:dyDescent="0.25">
      <c r="A10" t="s">
        <v>74</v>
      </c>
      <c r="B10" s="1">
        <v>45749</v>
      </c>
      <c r="C10">
        <v>2025</v>
      </c>
      <c r="D10" t="s">
        <v>53</v>
      </c>
      <c r="E10" t="s">
        <v>75</v>
      </c>
      <c r="F10" t="s">
        <v>30</v>
      </c>
      <c r="G10">
        <v>2</v>
      </c>
      <c r="H10">
        <v>134.28</v>
      </c>
      <c r="I10" t="s">
        <v>76</v>
      </c>
      <c r="J10" t="s">
        <v>67</v>
      </c>
      <c r="K10" t="s">
        <v>40</v>
      </c>
      <c r="L10" t="s">
        <v>77</v>
      </c>
      <c r="M10">
        <v>2</v>
      </c>
      <c r="O10" t="s">
        <v>43</v>
      </c>
      <c r="P10">
        <v>268.56</v>
      </c>
      <c r="Q10">
        <v>268.56</v>
      </c>
      <c r="R10" t="str">
        <f>IF(OR(P10&lt;Outliers!$B$5, P10&gt;Outliers!$B$6), "outliers", "")</f>
        <v/>
      </c>
    </row>
    <row r="11" spans="1:21" x14ac:dyDescent="0.25">
      <c r="A11" t="s">
        <v>78</v>
      </c>
      <c r="B11" s="1">
        <v>45251</v>
      </c>
      <c r="C11">
        <v>2023</v>
      </c>
      <c r="D11" t="s">
        <v>45</v>
      </c>
      <c r="E11" t="s">
        <v>79</v>
      </c>
      <c r="F11" t="s">
        <v>80</v>
      </c>
      <c r="G11">
        <v>4</v>
      </c>
      <c r="H11">
        <v>509.38</v>
      </c>
      <c r="I11" t="s">
        <v>81</v>
      </c>
      <c r="J11" t="s">
        <v>39</v>
      </c>
      <c r="K11" t="s">
        <v>23</v>
      </c>
      <c r="L11" t="s">
        <v>82</v>
      </c>
      <c r="M11">
        <v>6</v>
      </c>
      <c r="N11" t="s">
        <v>25</v>
      </c>
      <c r="O11" t="s">
        <v>83</v>
      </c>
      <c r="P11">
        <v>2037.52</v>
      </c>
      <c r="Q11">
        <v>2037.52</v>
      </c>
      <c r="R11" t="str">
        <f>IF(OR(P11&lt;Outliers!$B$5, P11&gt;Outliers!$B$6), "outliers", "")</f>
        <v/>
      </c>
    </row>
    <row r="12" spans="1:21" x14ac:dyDescent="0.25">
      <c r="A12" t="s">
        <v>84</v>
      </c>
      <c r="B12" s="1">
        <v>45289</v>
      </c>
      <c r="C12">
        <v>2023</v>
      </c>
      <c r="D12" t="s">
        <v>45</v>
      </c>
      <c r="E12" t="s">
        <v>85</v>
      </c>
      <c r="F12" t="s">
        <v>37</v>
      </c>
      <c r="G12">
        <v>5</v>
      </c>
      <c r="H12">
        <v>625.97</v>
      </c>
      <c r="I12" t="s">
        <v>86</v>
      </c>
      <c r="J12" t="s">
        <v>39</v>
      </c>
      <c r="K12" t="s">
        <v>49</v>
      </c>
      <c r="L12" t="s">
        <v>87</v>
      </c>
      <c r="M12">
        <v>9</v>
      </c>
      <c r="N12" t="s">
        <v>88</v>
      </c>
      <c r="O12" t="s">
        <v>26</v>
      </c>
      <c r="P12">
        <v>3129.85</v>
      </c>
      <c r="Q12">
        <v>3129.85</v>
      </c>
      <c r="R12" t="str">
        <f>IF(OR(P12&lt;Outliers!$B$5, P12&gt;Outliers!$B$6), "outliers", "")</f>
        <v/>
      </c>
    </row>
    <row r="13" spans="1:21" x14ac:dyDescent="0.25">
      <c r="A13" t="s">
        <v>89</v>
      </c>
      <c r="B13" s="1">
        <v>45339</v>
      </c>
      <c r="C13">
        <v>2024</v>
      </c>
      <c r="D13" t="s">
        <v>18</v>
      </c>
      <c r="E13" t="s">
        <v>90</v>
      </c>
      <c r="F13" t="s">
        <v>20</v>
      </c>
      <c r="G13">
        <v>3</v>
      </c>
      <c r="H13">
        <v>49.14</v>
      </c>
      <c r="I13" t="s">
        <v>91</v>
      </c>
      <c r="J13" t="s">
        <v>32</v>
      </c>
      <c r="K13" t="s">
        <v>49</v>
      </c>
      <c r="L13" t="s">
        <v>92</v>
      </c>
      <c r="M13">
        <v>7</v>
      </c>
      <c r="N13" t="s">
        <v>25</v>
      </c>
      <c r="O13" t="s">
        <v>43</v>
      </c>
      <c r="P13">
        <v>147.41999999999999</v>
      </c>
      <c r="Q13">
        <v>147.41999999999999</v>
      </c>
      <c r="R13" t="str">
        <f>IF(OR(P13&lt;Outliers!$B$5, P13&gt;Outliers!$B$6), "outliers", "")</f>
        <v/>
      </c>
    </row>
    <row r="14" spans="1:21" x14ac:dyDescent="0.25">
      <c r="A14" t="s">
        <v>93</v>
      </c>
      <c r="B14" s="1">
        <v>45580</v>
      </c>
      <c r="C14">
        <v>2024</v>
      </c>
      <c r="D14" t="s">
        <v>45</v>
      </c>
      <c r="E14" t="s">
        <v>94</v>
      </c>
      <c r="F14" t="s">
        <v>20</v>
      </c>
      <c r="G14">
        <v>2</v>
      </c>
      <c r="H14">
        <v>180.5</v>
      </c>
      <c r="I14" t="s">
        <v>95</v>
      </c>
      <c r="J14" t="s">
        <v>22</v>
      </c>
      <c r="K14" t="s">
        <v>96</v>
      </c>
      <c r="L14" t="s">
        <v>97</v>
      </c>
      <c r="M14">
        <v>6</v>
      </c>
      <c r="N14" t="s">
        <v>42</v>
      </c>
      <c r="O14" t="s">
        <v>34</v>
      </c>
      <c r="P14">
        <v>361</v>
      </c>
      <c r="Q14">
        <v>361</v>
      </c>
      <c r="R14" t="str">
        <f>IF(OR(P14&lt;Outliers!$B$5, P14&gt;Outliers!$B$6), "outliers", "")</f>
        <v/>
      </c>
    </row>
    <row r="15" spans="1:21" x14ac:dyDescent="0.25">
      <c r="A15" t="s">
        <v>98</v>
      </c>
      <c r="B15" s="1">
        <v>45168</v>
      </c>
      <c r="C15">
        <v>2023</v>
      </c>
      <c r="D15" t="s">
        <v>28</v>
      </c>
      <c r="E15" t="s">
        <v>99</v>
      </c>
      <c r="F15" t="s">
        <v>65</v>
      </c>
      <c r="G15">
        <v>3</v>
      </c>
      <c r="H15">
        <v>201.49</v>
      </c>
      <c r="I15" t="s">
        <v>100</v>
      </c>
      <c r="J15" t="s">
        <v>39</v>
      </c>
      <c r="K15" t="s">
        <v>49</v>
      </c>
      <c r="L15" t="s">
        <v>101</v>
      </c>
      <c r="M15">
        <v>4</v>
      </c>
      <c r="N15" t="s">
        <v>42</v>
      </c>
      <c r="O15" t="s">
        <v>51</v>
      </c>
      <c r="P15">
        <v>604.47</v>
      </c>
      <c r="Q15">
        <v>604.47</v>
      </c>
      <c r="R15" t="str">
        <f>IF(OR(P15&lt;Outliers!$B$5, P15&gt;Outliers!$B$6), "outliers", "")</f>
        <v/>
      </c>
    </row>
    <row r="16" spans="1:21" x14ac:dyDescent="0.25">
      <c r="A16" t="s">
        <v>102</v>
      </c>
      <c r="B16" s="1">
        <v>45012</v>
      </c>
      <c r="C16">
        <v>2023</v>
      </c>
      <c r="D16" t="s">
        <v>18</v>
      </c>
      <c r="E16" t="s">
        <v>103</v>
      </c>
      <c r="F16" t="s">
        <v>37</v>
      </c>
      <c r="G16">
        <v>2</v>
      </c>
      <c r="H16">
        <v>393.33</v>
      </c>
      <c r="I16" t="s">
        <v>104</v>
      </c>
      <c r="J16" t="s">
        <v>22</v>
      </c>
      <c r="K16" t="s">
        <v>96</v>
      </c>
      <c r="L16" t="s">
        <v>105</v>
      </c>
      <c r="M16">
        <v>3</v>
      </c>
      <c r="N16" t="s">
        <v>25</v>
      </c>
      <c r="O16" t="s">
        <v>26</v>
      </c>
      <c r="P16">
        <v>786.66</v>
      </c>
      <c r="Q16">
        <v>786.66</v>
      </c>
      <c r="R16" t="str">
        <f>IF(OR(P16&lt;Outliers!$B$5, P16&gt;Outliers!$B$6), "outliers", "")</f>
        <v/>
      </c>
    </row>
    <row r="17" spans="1:18" x14ac:dyDescent="0.25">
      <c r="A17" t="s">
        <v>106</v>
      </c>
      <c r="B17" s="1">
        <v>45124</v>
      </c>
      <c r="C17">
        <v>2023</v>
      </c>
      <c r="D17" t="s">
        <v>28</v>
      </c>
      <c r="E17" t="s">
        <v>107</v>
      </c>
      <c r="F17" t="s">
        <v>55</v>
      </c>
      <c r="G17">
        <v>1</v>
      </c>
      <c r="H17">
        <v>473.96</v>
      </c>
      <c r="I17" t="s">
        <v>108</v>
      </c>
      <c r="J17" t="s">
        <v>72</v>
      </c>
      <c r="K17" t="s">
        <v>57</v>
      </c>
      <c r="L17" t="s">
        <v>109</v>
      </c>
      <c r="M17">
        <v>3</v>
      </c>
      <c r="O17" t="s">
        <v>83</v>
      </c>
      <c r="P17">
        <v>473.96</v>
      </c>
      <c r="Q17">
        <v>473.96</v>
      </c>
      <c r="R17" t="str">
        <f>IF(OR(P17&lt;Outliers!$B$5, P17&gt;Outliers!$B$6), "outliers", "")</f>
        <v/>
      </c>
    </row>
    <row r="18" spans="1:18" x14ac:dyDescent="0.25">
      <c r="A18" t="s">
        <v>110</v>
      </c>
      <c r="B18" s="1">
        <v>44950</v>
      </c>
      <c r="C18">
        <v>2023</v>
      </c>
      <c r="D18" t="s">
        <v>18</v>
      </c>
      <c r="E18" t="s">
        <v>111</v>
      </c>
      <c r="F18" t="s">
        <v>55</v>
      </c>
      <c r="G18">
        <v>2</v>
      </c>
      <c r="H18">
        <v>533.80999999999995</v>
      </c>
      <c r="I18" t="s">
        <v>112</v>
      </c>
      <c r="J18" t="s">
        <v>39</v>
      </c>
      <c r="K18" t="s">
        <v>96</v>
      </c>
      <c r="L18" t="s">
        <v>113</v>
      </c>
      <c r="M18">
        <v>3</v>
      </c>
      <c r="N18" t="s">
        <v>42</v>
      </c>
      <c r="O18" t="s">
        <v>43</v>
      </c>
      <c r="P18">
        <v>1067.6199999999999</v>
      </c>
      <c r="Q18">
        <v>1067.6199999999999</v>
      </c>
      <c r="R18" t="str">
        <f>IF(OR(P18&lt;Outliers!$B$5, P18&gt;Outliers!$B$6), "outliers", "")</f>
        <v/>
      </c>
    </row>
    <row r="19" spans="1:18" x14ac:dyDescent="0.25">
      <c r="A19" t="s">
        <v>114</v>
      </c>
      <c r="B19" s="1">
        <v>45353</v>
      </c>
      <c r="C19">
        <v>2024</v>
      </c>
      <c r="D19" t="s">
        <v>18</v>
      </c>
      <c r="E19" t="s">
        <v>115</v>
      </c>
      <c r="F19" t="s">
        <v>37</v>
      </c>
      <c r="G19">
        <v>1</v>
      </c>
      <c r="H19">
        <v>423.4</v>
      </c>
      <c r="I19" t="s">
        <v>116</v>
      </c>
      <c r="J19" t="s">
        <v>22</v>
      </c>
      <c r="K19" t="s">
        <v>23</v>
      </c>
      <c r="L19" t="s">
        <v>117</v>
      </c>
      <c r="M19">
        <v>3</v>
      </c>
      <c r="O19" t="s">
        <v>34</v>
      </c>
      <c r="P19">
        <v>423.4</v>
      </c>
      <c r="Q19">
        <v>423.4</v>
      </c>
      <c r="R19" t="str">
        <f>IF(OR(P19&lt;Outliers!$B$5, P19&gt;Outliers!$B$6), "outliers", "")</f>
        <v/>
      </c>
    </row>
    <row r="20" spans="1:18" x14ac:dyDescent="0.25">
      <c r="A20" t="s">
        <v>118</v>
      </c>
      <c r="B20" s="1">
        <v>45742</v>
      </c>
      <c r="C20">
        <v>2025</v>
      </c>
      <c r="D20" t="s">
        <v>18</v>
      </c>
      <c r="E20" t="s">
        <v>119</v>
      </c>
      <c r="F20" t="s">
        <v>80</v>
      </c>
      <c r="G20">
        <v>1</v>
      </c>
      <c r="H20">
        <v>431.44</v>
      </c>
      <c r="I20" t="s">
        <v>120</v>
      </c>
      <c r="J20" t="s">
        <v>67</v>
      </c>
      <c r="K20" t="s">
        <v>96</v>
      </c>
      <c r="L20" t="s">
        <v>121</v>
      </c>
      <c r="M20">
        <v>3</v>
      </c>
      <c r="N20" t="s">
        <v>25</v>
      </c>
      <c r="O20" t="s">
        <v>51</v>
      </c>
      <c r="P20">
        <v>431.44</v>
      </c>
      <c r="Q20">
        <v>431.44</v>
      </c>
      <c r="R20" t="str">
        <f>IF(OR(P20&lt;Outliers!$B$5, P20&gt;Outliers!$B$6), "outliers", "")</f>
        <v/>
      </c>
    </row>
    <row r="21" spans="1:18" x14ac:dyDescent="0.25">
      <c r="A21" t="s">
        <v>122</v>
      </c>
      <c r="B21" s="1">
        <v>44949</v>
      </c>
      <c r="C21">
        <v>2023</v>
      </c>
      <c r="D21" t="s">
        <v>18</v>
      </c>
      <c r="E21" t="s">
        <v>123</v>
      </c>
      <c r="F21" t="s">
        <v>20</v>
      </c>
      <c r="G21">
        <v>5</v>
      </c>
      <c r="H21">
        <v>224</v>
      </c>
      <c r="I21" t="s">
        <v>124</v>
      </c>
      <c r="J21" t="s">
        <v>72</v>
      </c>
      <c r="K21" t="s">
        <v>49</v>
      </c>
      <c r="L21" t="s">
        <v>125</v>
      </c>
      <c r="M21">
        <v>9</v>
      </c>
      <c r="N21" t="s">
        <v>25</v>
      </c>
      <c r="O21" t="s">
        <v>83</v>
      </c>
      <c r="P21">
        <v>1120</v>
      </c>
      <c r="Q21">
        <v>1120</v>
      </c>
      <c r="R21" t="str">
        <f>IF(OR(P21&lt;Outliers!$B$5, P21&gt;Outliers!$B$6), "outliers", "")</f>
        <v/>
      </c>
    </row>
    <row r="22" spans="1:18" x14ac:dyDescent="0.25">
      <c r="A22" t="s">
        <v>126</v>
      </c>
      <c r="B22" s="1">
        <v>45054</v>
      </c>
      <c r="C22">
        <v>2023</v>
      </c>
      <c r="D22" t="s">
        <v>53</v>
      </c>
      <c r="E22" t="s">
        <v>127</v>
      </c>
      <c r="F22" t="s">
        <v>47</v>
      </c>
      <c r="G22">
        <v>5</v>
      </c>
      <c r="H22">
        <v>62.51</v>
      </c>
      <c r="I22" t="s">
        <v>128</v>
      </c>
      <c r="J22" t="s">
        <v>72</v>
      </c>
      <c r="K22" t="s">
        <v>96</v>
      </c>
      <c r="L22" t="s">
        <v>129</v>
      </c>
      <c r="M22">
        <v>9</v>
      </c>
      <c r="N22" t="s">
        <v>88</v>
      </c>
      <c r="O22" t="s">
        <v>26</v>
      </c>
      <c r="P22">
        <v>312.55</v>
      </c>
      <c r="Q22">
        <v>312.55</v>
      </c>
      <c r="R22" t="str">
        <f>IF(OR(P22&lt;Outliers!$B$5, P22&gt;Outliers!$B$6), "outliers", "")</f>
        <v/>
      </c>
    </row>
    <row r="23" spans="1:18" x14ac:dyDescent="0.25">
      <c r="A23" t="s">
        <v>130</v>
      </c>
      <c r="B23" s="1">
        <v>45613</v>
      </c>
      <c r="C23">
        <v>2024</v>
      </c>
      <c r="D23" t="s">
        <v>45</v>
      </c>
      <c r="E23" t="s">
        <v>131</v>
      </c>
      <c r="F23" t="s">
        <v>20</v>
      </c>
      <c r="G23">
        <v>4</v>
      </c>
      <c r="H23">
        <v>342.95</v>
      </c>
      <c r="I23" t="s">
        <v>132</v>
      </c>
      <c r="J23" t="s">
        <v>72</v>
      </c>
      <c r="K23" t="s">
        <v>57</v>
      </c>
      <c r="L23" t="s">
        <v>133</v>
      </c>
      <c r="M23">
        <v>6</v>
      </c>
      <c r="O23" t="s">
        <v>83</v>
      </c>
      <c r="P23">
        <v>1371.8</v>
      </c>
      <c r="Q23">
        <v>1371.8</v>
      </c>
      <c r="R23" t="str">
        <f>IF(OR(P23&lt;Outliers!$B$5, P23&gt;Outliers!$B$6), "outliers", "")</f>
        <v/>
      </c>
    </row>
    <row r="24" spans="1:18" x14ac:dyDescent="0.25">
      <c r="A24" t="s">
        <v>134</v>
      </c>
      <c r="B24" s="1">
        <v>44955</v>
      </c>
      <c r="C24">
        <v>2023</v>
      </c>
      <c r="D24" t="s">
        <v>18</v>
      </c>
      <c r="E24" t="s">
        <v>135</v>
      </c>
      <c r="F24" t="s">
        <v>20</v>
      </c>
      <c r="G24">
        <v>2</v>
      </c>
      <c r="H24">
        <v>49.62</v>
      </c>
      <c r="I24" t="s">
        <v>136</v>
      </c>
      <c r="J24" t="s">
        <v>32</v>
      </c>
      <c r="K24" t="s">
        <v>96</v>
      </c>
      <c r="L24" t="s">
        <v>137</v>
      </c>
      <c r="M24">
        <v>2</v>
      </c>
      <c r="N24" t="s">
        <v>25</v>
      </c>
      <c r="O24" t="s">
        <v>83</v>
      </c>
      <c r="P24">
        <v>99.24</v>
      </c>
      <c r="Q24">
        <v>99.24</v>
      </c>
      <c r="R24" t="str">
        <f>IF(OR(P24&lt;Outliers!$B$5, P24&gt;Outliers!$B$6), "outliers", "")</f>
        <v/>
      </c>
    </row>
    <row r="25" spans="1:18" x14ac:dyDescent="0.25">
      <c r="A25" t="s">
        <v>138</v>
      </c>
      <c r="B25" s="1">
        <v>45756</v>
      </c>
      <c r="C25">
        <v>2025</v>
      </c>
      <c r="D25" t="s">
        <v>53</v>
      </c>
      <c r="E25" t="s">
        <v>139</v>
      </c>
      <c r="F25" t="s">
        <v>30</v>
      </c>
      <c r="G25">
        <v>4</v>
      </c>
      <c r="H25">
        <v>273.25</v>
      </c>
      <c r="I25" t="s">
        <v>140</v>
      </c>
      <c r="J25" t="s">
        <v>22</v>
      </c>
      <c r="K25" t="s">
        <v>40</v>
      </c>
      <c r="L25" t="s">
        <v>141</v>
      </c>
      <c r="M25">
        <v>5</v>
      </c>
      <c r="N25" t="s">
        <v>42</v>
      </c>
      <c r="O25" t="s">
        <v>34</v>
      </c>
      <c r="P25">
        <v>1093</v>
      </c>
      <c r="Q25">
        <v>1093</v>
      </c>
      <c r="R25" t="str">
        <f>IF(OR(P25&lt;Outliers!$B$5, P25&gt;Outliers!$B$6), "outliers", "")</f>
        <v/>
      </c>
    </row>
    <row r="26" spans="1:18" x14ac:dyDescent="0.25">
      <c r="A26" t="s">
        <v>142</v>
      </c>
      <c r="B26" s="1">
        <v>45595</v>
      </c>
      <c r="C26">
        <v>2024</v>
      </c>
      <c r="D26" t="s">
        <v>45</v>
      </c>
      <c r="E26" t="s">
        <v>143</v>
      </c>
      <c r="F26" t="s">
        <v>65</v>
      </c>
      <c r="G26">
        <v>2</v>
      </c>
      <c r="H26">
        <v>230.95</v>
      </c>
      <c r="I26" t="s">
        <v>144</v>
      </c>
      <c r="J26" t="s">
        <v>32</v>
      </c>
      <c r="K26" t="s">
        <v>57</v>
      </c>
      <c r="L26" t="s">
        <v>145</v>
      </c>
      <c r="M26">
        <v>3</v>
      </c>
      <c r="N26" t="s">
        <v>88</v>
      </c>
      <c r="O26" t="s">
        <v>34</v>
      </c>
      <c r="P26">
        <v>461.9</v>
      </c>
      <c r="Q26">
        <v>461.9</v>
      </c>
      <c r="R26" t="str">
        <f>IF(OR(P26&lt;Outliers!$B$5, P26&gt;Outliers!$B$6), "outliers", "")</f>
        <v/>
      </c>
    </row>
    <row r="27" spans="1:18" x14ac:dyDescent="0.25">
      <c r="A27" t="s">
        <v>146</v>
      </c>
      <c r="B27" s="1">
        <v>45497</v>
      </c>
      <c r="C27">
        <v>2024</v>
      </c>
      <c r="D27" t="s">
        <v>28</v>
      </c>
      <c r="E27" t="s">
        <v>147</v>
      </c>
      <c r="F27" t="s">
        <v>20</v>
      </c>
      <c r="G27">
        <v>1</v>
      </c>
      <c r="H27">
        <v>399.98</v>
      </c>
      <c r="I27" t="s">
        <v>148</v>
      </c>
      <c r="J27" t="s">
        <v>22</v>
      </c>
      <c r="K27" t="s">
        <v>57</v>
      </c>
      <c r="L27" t="s">
        <v>149</v>
      </c>
      <c r="M27">
        <v>3</v>
      </c>
      <c r="N27" t="s">
        <v>88</v>
      </c>
      <c r="O27" t="s">
        <v>43</v>
      </c>
      <c r="P27">
        <v>399.98</v>
      </c>
      <c r="Q27">
        <v>399.98</v>
      </c>
      <c r="R27" t="str">
        <f>IF(OR(P27&lt;Outliers!$B$5, P27&gt;Outliers!$B$6), "outliers", "")</f>
        <v/>
      </c>
    </row>
    <row r="28" spans="1:18" x14ac:dyDescent="0.25">
      <c r="A28" t="s">
        <v>150</v>
      </c>
      <c r="B28" s="1">
        <v>45357</v>
      </c>
      <c r="C28">
        <v>2024</v>
      </c>
      <c r="D28" t="s">
        <v>18</v>
      </c>
      <c r="E28" t="s">
        <v>151</v>
      </c>
      <c r="F28" t="s">
        <v>65</v>
      </c>
      <c r="G28">
        <v>5</v>
      </c>
      <c r="H28">
        <v>59.55</v>
      </c>
      <c r="I28" t="s">
        <v>152</v>
      </c>
      <c r="J28" t="s">
        <v>32</v>
      </c>
      <c r="K28" t="s">
        <v>57</v>
      </c>
      <c r="L28" t="s">
        <v>153</v>
      </c>
      <c r="M28">
        <v>6</v>
      </c>
      <c r="O28" t="s">
        <v>34</v>
      </c>
      <c r="P28">
        <v>297.75</v>
      </c>
      <c r="Q28">
        <v>297.75</v>
      </c>
      <c r="R28" t="str">
        <f>IF(OR(P28&lt;Outliers!$B$5, P28&gt;Outliers!$B$6), "outliers", "")</f>
        <v/>
      </c>
    </row>
    <row r="29" spans="1:18" x14ac:dyDescent="0.25">
      <c r="A29" t="s">
        <v>154</v>
      </c>
      <c r="B29" s="1">
        <v>45344</v>
      </c>
      <c r="C29">
        <v>2024</v>
      </c>
      <c r="D29" t="s">
        <v>18</v>
      </c>
      <c r="E29" t="s">
        <v>155</v>
      </c>
      <c r="F29" t="s">
        <v>55</v>
      </c>
      <c r="G29">
        <v>1</v>
      </c>
      <c r="H29">
        <v>472.74</v>
      </c>
      <c r="I29" t="s">
        <v>156</v>
      </c>
      <c r="J29" t="s">
        <v>32</v>
      </c>
      <c r="K29" t="s">
        <v>23</v>
      </c>
      <c r="L29" t="s">
        <v>157</v>
      </c>
      <c r="M29">
        <v>6</v>
      </c>
      <c r="N29" t="s">
        <v>88</v>
      </c>
      <c r="O29" t="s">
        <v>83</v>
      </c>
      <c r="P29">
        <v>472.74</v>
      </c>
      <c r="Q29">
        <v>472.74</v>
      </c>
      <c r="R29" t="str">
        <f>IF(OR(P29&lt;Outliers!$B$5, P29&gt;Outliers!$B$6), "outliers", "")</f>
        <v/>
      </c>
    </row>
    <row r="30" spans="1:18" x14ac:dyDescent="0.25">
      <c r="A30" t="s">
        <v>158</v>
      </c>
      <c r="B30" s="1">
        <v>45251</v>
      </c>
      <c r="C30">
        <v>2023</v>
      </c>
      <c r="D30" t="s">
        <v>45</v>
      </c>
      <c r="E30" t="s">
        <v>159</v>
      </c>
      <c r="F30" t="s">
        <v>30</v>
      </c>
      <c r="G30">
        <v>4</v>
      </c>
      <c r="H30">
        <v>160.07</v>
      </c>
      <c r="I30" t="s">
        <v>160</v>
      </c>
      <c r="J30" t="s">
        <v>32</v>
      </c>
      <c r="K30" t="s">
        <v>96</v>
      </c>
      <c r="L30" t="s">
        <v>161</v>
      </c>
      <c r="M30">
        <v>5</v>
      </c>
      <c r="O30" t="s">
        <v>43</v>
      </c>
      <c r="P30">
        <v>640.28</v>
      </c>
      <c r="Q30">
        <v>640.28</v>
      </c>
      <c r="R30" t="str">
        <f>IF(OR(P30&lt;Outliers!$B$5, P30&gt;Outliers!$B$6), "outliers", "")</f>
        <v/>
      </c>
    </row>
    <row r="31" spans="1:18" x14ac:dyDescent="0.25">
      <c r="A31" t="s">
        <v>162</v>
      </c>
      <c r="B31" s="1">
        <v>45555</v>
      </c>
      <c r="C31">
        <v>2024</v>
      </c>
      <c r="D31" t="s">
        <v>28</v>
      </c>
      <c r="E31" t="s">
        <v>163</v>
      </c>
      <c r="F31" t="s">
        <v>80</v>
      </c>
      <c r="G31">
        <v>3</v>
      </c>
      <c r="H31">
        <v>423.53</v>
      </c>
      <c r="I31" t="s">
        <v>164</v>
      </c>
      <c r="J31" t="s">
        <v>39</v>
      </c>
      <c r="K31" t="s">
        <v>57</v>
      </c>
      <c r="L31" t="s">
        <v>165</v>
      </c>
      <c r="M31">
        <v>6</v>
      </c>
      <c r="N31" t="s">
        <v>25</v>
      </c>
      <c r="O31" t="s">
        <v>34</v>
      </c>
      <c r="P31">
        <v>1270.5899999999999</v>
      </c>
      <c r="Q31">
        <v>1270.5899999999999</v>
      </c>
      <c r="R31" t="str">
        <f>IF(OR(P31&lt;Outliers!$B$5, P31&gt;Outliers!$B$6), "outliers", "")</f>
        <v/>
      </c>
    </row>
    <row r="32" spans="1:18" x14ac:dyDescent="0.25">
      <c r="A32" t="s">
        <v>166</v>
      </c>
      <c r="B32" s="1">
        <v>45738</v>
      </c>
      <c r="C32">
        <v>2025</v>
      </c>
      <c r="D32" t="s">
        <v>18</v>
      </c>
      <c r="E32" t="s">
        <v>167</v>
      </c>
      <c r="F32" t="s">
        <v>20</v>
      </c>
      <c r="G32">
        <v>2</v>
      </c>
      <c r="H32">
        <v>426.7</v>
      </c>
      <c r="I32" t="s">
        <v>168</v>
      </c>
      <c r="J32" t="s">
        <v>32</v>
      </c>
      <c r="K32" t="s">
        <v>96</v>
      </c>
      <c r="L32" t="s">
        <v>169</v>
      </c>
      <c r="M32">
        <v>5</v>
      </c>
      <c r="N32" t="s">
        <v>25</v>
      </c>
      <c r="O32" t="s">
        <v>34</v>
      </c>
      <c r="P32">
        <v>853.4</v>
      </c>
      <c r="Q32">
        <v>853.4</v>
      </c>
      <c r="R32" t="str">
        <f>IF(OR(P32&lt;Outliers!$B$5, P32&gt;Outliers!$B$6), "outliers", "")</f>
        <v/>
      </c>
    </row>
    <row r="33" spans="1:18" x14ac:dyDescent="0.25">
      <c r="A33" t="s">
        <v>170</v>
      </c>
      <c r="B33" s="1">
        <v>45107</v>
      </c>
      <c r="C33">
        <v>2023</v>
      </c>
      <c r="D33" t="s">
        <v>53</v>
      </c>
      <c r="E33" t="s">
        <v>171</v>
      </c>
      <c r="F33" t="s">
        <v>47</v>
      </c>
      <c r="G33">
        <v>3</v>
      </c>
      <c r="H33">
        <v>500.08</v>
      </c>
      <c r="I33" t="s">
        <v>172</v>
      </c>
      <c r="J33" t="s">
        <v>22</v>
      </c>
      <c r="K33" t="s">
        <v>49</v>
      </c>
      <c r="L33" t="s">
        <v>173</v>
      </c>
      <c r="M33">
        <v>6</v>
      </c>
      <c r="O33" t="s">
        <v>51</v>
      </c>
      <c r="P33">
        <v>1500.24</v>
      </c>
      <c r="Q33">
        <v>1500.24</v>
      </c>
      <c r="R33" t="str">
        <f>IF(OR(P33&lt;Outliers!$B$5, P33&gt;Outliers!$B$6), "outliers", "")</f>
        <v/>
      </c>
    </row>
    <row r="34" spans="1:18" x14ac:dyDescent="0.25">
      <c r="A34" t="s">
        <v>174</v>
      </c>
      <c r="B34" s="1">
        <v>45047</v>
      </c>
      <c r="C34">
        <v>2023</v>
      </c>
      <c r="D34" t="s">
        <v>53</v>
      </c>
      <c r="E34" t="s">
        <v>175</v>
      </c>
      <c r="F34" t="s">
        <v>37</v>
      </c>
      <c r="G34">
        <v>5</v>
      </c>
      <c r="H34">
        <v>536.72</v>
      </c>
      <c r="I34" t="s">
        <v>176</v>
      </c>
      <c r="J34" t="s">
        <v>72</v>
      </c>
      <c r="K34" t="s">
        <v>57</v>
      </c>
      <c r="L34" t="s">
        <v>177</v>
      </c>
      <c r="M34">
        <v>10</v>
      </c>
      <c r="O34" t="s">
        <v>43</v>
      </c>
      <c r="P34">
        <v>2683.6</v>
      </c>
      <c r="Q34">
        <v>2683.6</v>
      </c>
      <c r="R34" t="str">
        <f>IF(OR(P34&lt;Outliers!$B$5, P34&gt;Outliers!$B$6), "outliers", "")</f>
        <v/>
      </c>
    </row>
    <row r="35" spans="1:18" x14ac:dyDescent="0.25">
      <c r="A35" t="s">
        <v>178</v>
      </c>
      <c r="B35" s="1">
        <v>45082</v>
      </c>
      <c r="C35">
        <v>2023</v>
      </c>
      <c r="D35" t="s">
        <v>53</v>
      </c>
      <c r="E35" t="s">
        <v>179</v>
      </c>
      <c r="F35" t="s">
        <v>47</v>
      </c>
      <c r="G35">
        <v>1</v>
      </c>
      <c r="H35">
        <v>162.77000000000001</v>
      </c>
      <c r="I35" t="s">
        <v>180</v>
      </c>
      <c r="J35" t="s">
        <v>32</v>
      </c>
      <c r="K35" t="s">
        <v>40</v>
      </c>
      <c r="L35" t="s">
        <v>181</v>
      </c>
      <c r="M35">
        <v>4</v>
      </c>
      <c r="N35" t="s">
        <v>88</v>
      </c>
      <c r="O35" t="s">
        <v>51</v>
      </c>
      <c r="P35">
        <v>162.77000000000001</v>
      </c>
      <c r="Q35">
        <v>162.77000000000001</v>
      </c>
      <c r="R35" t="str">
        <f>IF(OR(P35&lt;Outliers!$B$5, P35&gt;Outliers!$B$6), "outliers", "")</f>
        <v/>
      </c>
    </row>
    <row r="36" spans="1:18" x14ac:dyDescent="0.25">
      <c r="A36" t="s">
        <v>182</v>
      </c>
      <c r="B36" s="1">
        <v>44933</v>
      </c>
      <c r="C36">
        <v>2023</v>
      </c>
      <c r="D36" t="s">
        <v>18</v>
      </c>
      <c r="E36" t="s">
        <v>183</v>
      </c>
      <c r="F36" t="s">
        <v>47</v>
      </c>
      <c r="G36">
        <v>4</v>
      </c>
      <c r="H36">
        <v>576.52</v>
      </c>
      <c r="I36" t="s">
        <v>184</v>
      </c>
      <c r="J36" t="s">
        <v>39</v>
      </c>
      <c r="K36" t="s">
        <v>96</v>
      </c>
      <c r="L36" t="s">
        <v>185</v>
      </c>
      <c r="M36">
        <v>5</v>
      </c>
      <c r="N36" t="s">
        <v>88</v>
      </c>
      <c r="O36" t="s">
        <v>51</v>
      </c>
      <c r="P36">
        <v>2306.08</v>
      </c>
      <c r="Q36">
        <v>2306.08</v>
      </c>
      <c r="R36" t="str">
        <f>IF(OR(P36&lt;Outliers!$B$5, P36&gt;Outliers!$B$6), "outliers", "")</f>
        <v/>
      </c>
    </row>
    <row r="37" spans="1:18" x14ac:dyDescent="0.25">
      <c r="A37" t="s">
        <v>186</v>
      </c>
      <c r="B37" s="1">
        <v>45633</v>
      </c>
      <c r="C37">
        <v>2024</v>
      </c>
      <c r="D37" t="s">
        <v>45</v>
      </c>
      <c r="E37" t="s">
        <v>187</v>
      </c>
      <c r="F37" t="s">
        <v>20</v>
      </c>
      <c r="G37">
        <v>2</v>
      </c>
      <c r="H37">
        <v>465.15</v>
      </c>
      <c r="I37" t="s">
        <v>188</v>
      </c>
      <c r="J37" t="s">
        <v>32</v>
      </c>
      <c r="K37" t="s">
        <v>23</v>
      </c>
      <c r="L37" t="s">
        <v>189</v>
      </c>
      <c r="M37">
        <v>2</v>
      </c>
      <c r="N37" t="s">
        <v>25</v>
      </c>
      <c r="O37" t="s">
        <v>51</v>
      </c>
      <c r="P37">
        <v>930.3</v>
      </c>
      <c r="Q37">
        <v>930.3</v>
      </c>
      <c r="R37" t="str">
        <f>IF(OR(P37&lt;Outliers!$B$5, P37&gt;Outliers!$B$6), "outliers", "")</f>
        <v/>
      </c>
    </row>
    <row r="38" spans="1:18" x14ac:dyDescent="0.25">
      <c r="A38" t="s">
        <v>190</v>
      </c>
      <c r="B38" s="1">
        <v>45785</v>
      </c>
      <c r="C38">
        <v>2025</v>
      </c>
      <c r="D38" t="s">
        <v>53</v>
      </c>
      <c r="E38" t="s">
        <v>191</v>
      </c>
      <c r="F38" t="s">
        <v>65</v>
      </c>
      <c r="G38">
        <v>2</v>
      </c>
      <c r="H38">
        <v>534.42999999999995</v>
      </c>
      <c r="I38" t="s">
        <v>192</v>
      </c>
      <c r="J38" t="s">
        <v>22</v>
      </c>
      <c r="K38" t="s">
        <v>96</v>
      </c>
      <c r="L38" t="s">
        <v>193</v>
      </c>
      <c r="M38">
        <v>5</v>
      </c>
      <c r="O38" t="s">
        <v>51</v>
      </c>
      <c r="P38">
        <v>1068.8599999999999</v>
      </c>
      <c r="Q38">
        <v>1068.8599999999999</v>
      </c>
      <c r="R38" t="str">
        <f>IF(OR(P38&lt;Outliers!$B$5, P38&gt;Outliers!$B$6), "outliers", "")</f>
        <v/>
      </c>
    </row>
    <row r="39" spans="1:18" x14ac:dyDescent="0.25">
      <c r="A39" t="s">
        <v>194</v>
      </c>
      <c r="B39" s="1">
        <v>45579</v>
      </c>
      <c r="C39">
        <v>2024</v>
      </c>
      <c r="D39" t="s">
        <v>45</v>
      </c>
      <c r="E39" t="s">
        <v>195</v>
      </c>
      <c r="F39" t="s">
        <v>65</v>
      </c>
      <c r="G39">
        <v>2</v>
      </c>
      <c r="H39">
        <v>76.739999999999995</v>
      </c>
      <c r="I39" t="s">
        <v>196</v>
      </c>
      <c r="J39" t="s">
        <v>72</v>
      </c>
      <c r="K39" t="s">
        <v>49</v>
      </c>
      <c r="L39" t="s">
        <v>197</v>
      </c>
      <c r="M39">
        <v>7</v>
      </c>
      <c r="N39" t="s">
        <v>25</v>
      </c>
      <c r="O39" t="s">
        <v>26</v>
      </c>
      <c r="P39">
        <v>153.47999999999999</v>
      </c>
      <c r="Q39">
        <v>153.47999999999999</v>
      </c>
      <c r="R39" t="str">
        <f>IF(OR(P39&lt;Outliers!$B$5, P39&gt;Outliers!$B$6), "outliers", "")</f>
        <v/>
      </c>
    </row>
    <row r="40" spans="1:18" x14ac:dyDescent="0.25">
      <c r="A40" t="s">
        <v>198</v>
      </c>
      <c r="B40" s="1">
        <v>45645</v>
      </c>
      <c r="C40">
        <v>2024</v>
      </c>
      <c r="D40" t="s">
        <v>45</v>
      </c>
      <c r="E40" t="s">
        <v>199</v>
      </c>
      <c r="F40" t="s">
        <v>65</v>
      </c>
      <c r="G40">
        <v>1</v>
      </c>
      <c r="H40">
        <v>245.89</v>
      </c>
      <c r="I40" t="s">
        <v>200</v>
      </c>
      <c r="J40" t="s">
        <v>22</v>
      </c>
      <c r="K40" t="s">
        <v>57</v>
      </c>
      <c r="L40" t="s">
        <v>201</v>
      </c>
      <c r="M40">
        <v>3</v>
      </c>
      <c r="N40" t="s">
        <v>25</v>
      </c>
      <c r="O40" t="s">
        <v>83</v>
      </c>
      <c r="P40">
        <v>245.89</v>
      </c>
      <c r="Q40">
        <v>245.89</v>
      </c>
      <c r="R40" t="str">
        <f>IF(OR(P40&lt;Outliers!$B$5, P40&gt;Outliers!$B$6), "outliers", "")</f>
        <v/>
      </c>
    </row>
    <row r="41" spans="1:18" x14ac:dyDescent="0.25">
      <c r="A41" t="s">
        <v>202</v>
      </c>
      <c r="B41" s="1">
        <v>45715</v>
      </c>
      <c r="C41">
        <v>2025</v>
      </c>
      <c r="D41" t="s">
        <v>18</v>
      </c>
      <c r="E41" t="s">
        <v>203</v>
      </c>
      <c r="F41" t="s">
        <v>55</v>
      </c>
      <c r="G41">
        <v>3</v>
      </c>
      <c r="H41">
        <v>256.45999999999998</v>
      </c>
      <c r="I41" t="s">
        <v>204</v>
      </c>
      <c r="J41" t="s">
        <v>39</v>
      </c>
      <c r="K41" t="s">
        <v>57</v>
      </c>
      <c r="L41" t="s">
        <v>205</v>
      </c>
      <c r="M41">
        <v>4</v>
      </c>
      <c r="N41" t="s">
        <v>25</v>
      </c>
      <c r="O41" t="s">
        <v>34</v>
      </c>
      <c r="P41">
        <v>769.38</v>
      </c>
      <c r="Q41">
        <v>769.38</v>
      </c>
      <c r="R41" t="str">
        <f>IF(OR(P41&lt;Outliers!$B$5, P41&gt;Outliers!$B$6), "outliers", "")</f>
        <v/>
      </c>
    </row>
    <row r="42" spans="1:18" x14ac:dyDescent="0.25">
      <c r="A42" t="s">
        <v>206</v>
      </c>
      <c r="B42" s="1">
        <v>45158</v>
      </c>
      <c r="C42">
        <v>2023</v>
      </c>
      <c r="D42" t="s">
        <v>28</v>
      </c>
      <c r="E42" t="s">
        <v>207</v>
      </c>
      <c r="F42" t="s">
        <v>80</v>
      </c>
      <c r="G42">
        <v>2</v>
      </c>
      <c r="H42">
        <v>344.02</v>
      </c>
      <c r="I42" t="s">
        <v>208</v>
      </c>
      <c r="J42" t="s">
        <v>32</v>
      </c>
      <c r="K42" t="s">
        <v>57</v>
      </c>
      <c r="L42" t="s">
        <v>209</v>
      </c>
      <c r="M42">
        <v>4</v>
      </c>
      <c r="N42" t="s">
        <v>42</v>
      </c>
      <c r="O42" t="s">
        <v>26</v>
      </c>
      <c r="P42">
        <v>688.04</v>
      </c>
      <c r="Q42">
        <v>688.04</v>
      </c>
      <c r="R42" t="str">
        <f>IF(OR(P42&lt;Outliers!$B$5, P42&gt;Outliers!$B$6), "outliers", "")</f>
        <v/>
      </c>
    </row>
    <row r="43" spans="1:18" x14ac:dyDescent="0.25">
      <c r="A43" t="s">
        <v>210</v>
      </c>
      <c r="B43" s="1">
        <v>45265</v>
      </c>
      <c r="C43">
        <v>2023</v>
      </c>
      <c r="D43" t="s">
        <v>45</v>
      </c>
      <c r="E43" t="s">
        <v>211</v>
      </c>
      <c r="F43" t="s">
        <v>20</v>
      </c>
      <c r="G43">
        <v>3</v>
      </c>
      <c r="H43">
        <v>611.45000000000005</v>
      </c>
      <c r="I43" t="s">
        <v>212</v>
      </c>
      <c r="J43" t="s">
        <v>67</v>
      </c>
      <c r="K43" t="s">
        <v>96</v>
      </c>
      <c r="L43" t="s">
        <v>213</v>
      </c>
      <c r="M43">
        <v>4</v>
      </c>
      <c r="N43" t="s">
        <v>42</v>
      </c>
      <c r="O43" t="s">
        <v>26</v>
      </c>
      <c r="P43">
        <v>1834.35</v>
      </c>
      <c r="Q43">
        <v>1834.35</v>
      </c>
      <c r="R43" t="str">
        <f>IF(OR(P43&lt;Outliers!$B$5, P43&gt;Outliers!$B$6), "outliers", "")</f>
        <v/>
      </c>
    </row>
    <row r="44" spans="1:18" x14ac:dyDescent="0.25">
      <c r="A44" t="s">
        <v>214</v>
      </c>
      <c r="B44" s="1">
        <v>45418</v>
      </c>
      <c r="C44">
        <v>2024</v>
      </c>
      <c r="D44" t="s">
        <v>53</v>
      </c>
      <c r="E44" t="s">
        <v>215</v>
      </c>
      <c r="F44" t="s">
        <v>55</v>
      </c>
      <c r="G44">
        <v>2</v>
      </c>
      <c r="H44">
        <v>151.66</v>
      </c>
      <c r="I44" t="s">
        <v>104</v>
      </c>
      <c r="J44" t="s">
        <v>72</v>
      </c>
      <c r="K44" t="s">
        <v>40</v>
      </c>
      <c r="L44" t="s">
        <v>216</v>
      </c>
      <c r="M44">
        <v>6</v>
      </c>
      <c r="O44" t="s">
        <v>26</v>
      </c>
      <c r="P44">
        <v>303.32</v>
      </c>
      <c r="Q44">
        <v>303.32</v>
      </c>
      <c r="R44" t="str">
        <f>IF(OR(P44&lt;Outliers!$B$5, P44&gt;Outliers!$B$6), "outliers", "")</f>
        <v/>
      </c>
    </row>
    <row r="45" spans="1:18" x14ac:dyDescent="0.25">
      <c r="A45" t="s">
        <v>217</v>
      </c>
      <c r="B45" s="1">
        <v>45274</v>
      </c>
      <c r="C45">
        <v>2023</v>
      </c>
      <c r="D45" t="s">
        <v>45</v>
      </c>
      <c r="E45" t="s">
        <v>218</v>
      </c>
      <c r="F45" t="s">
        <v>47</v>
      </c>
      <c r="G45">
        <v>3</v>
      </c>
      <c r="H45">
        <v>499.21</v>
      </c>
      <c r="I45" t="s">
        <v>219</v>
      </c>
      <c r="J45" t="s">
        <v>32</v>
      </c>
      <c r="K45" t="s">
        <v>40</v>
      </c>
      <c r="L45" t="s">
        <v>220</v>
      </c>
      <c r="M45">
        <v>8</v>
      </c>
      <c r="O45" t="s">
        <v>26</v>
      </c>
      <c r="P45">
        <v>1497.63</v>
      </c>
      <c r="Q45">
        <v>1497.63</v>
      </c>
      <c r="R45" t="str">
        <f>IF(OR(P45&lt;Outliers!$B$5, P45&gt;Outliers!$B$6), "outliers", "")</f>
        <v/>
      </c>
    </row>
    <row r="46" spans="1:18" x14ac:dyDescent="0.25">
      <c r="A46" t="s">
        <v>221</v>
      </c>
      <c r="B46" s="1">
        <v>45768</v>
      </c>
      <c r="C46">
        <v>2025</v>
      </c>
      <c r="D46" t="s">
        <v>53</v>
      </c>
      <c r="E46" t="s">
        <v>222</v>
      </c>
      <c r="F46" t="s">
        <v>30</v>
      </c>
      <c r="G46">
        <v>2</v>
      </c>
      <c r="H46">
        <v>550.17999999999995</v>
      </c>
      <c r="I46" t="s">
        <v>172</v>
      </c>
      <c r="J46" t="s">
        <v>67</v>
      </c>
      <c r="K46" t="s">
        <v>49</v>
      </c>
      <c r="L46" t="s">
        <v>223</v>
      </c>
      <c r="M46">
        <v>3</v>
      </c>
      <c r="N46" t="s">
        <v>42</v>
      </c>
      <c r="O46" t="s">
        <v>34</v>
      </c>
      <c r="P46">
        <v>1100.3599999999999</v>
      </c>
      <c r="Q46">
        <v>1100.3599999999999</v>
      </c>
      <c r="R46" t="str">
        <f>IF(OR(P46&lt;Outliers!$B$5, P46&gt;Outliers!$B$6), "outliers", "")</f>
        <v/>
      </c>
    </row>
    <row r="47" spans="1:18" x14ac:dyDescent="0.25">
      <c r="A47" t="s">
        <v>224</v>
      </c>
      <c r="B47" s="1">
        <v>45332</v>
      </c>
      <c r="C47">
        <v>2024</v>
      </c>
      <c r="D47" t="s">
        <v>18</v>
      </c>
      <c r="E47" t="s">
        <v>225</v>
      </c>
      <c r="F47" t="s">
        <v>47</v>
      </c>
      <c r="G47">
        <v>1</v>
      </c>
      <c r="H47">
        <v>317.25</v>
      </c>
      <c r="I47" t="s">
        <v>226</v>
      </c>
      <c r="J47" t="s">
        <v>22</v>
      </c>
      <c r="K47" t="s">
        <v>49</v>
      </c>
      <c r="L47" t="s">
        <v>227</v>
      </c>
      <c r="M47">
        <v>1</v>
      </c>
      <c r="N47" t="s">
        <v>25</v>
      </c>
      <c r="O47" t="s">
        <v>51</v>
      </c>
      <c r="P47">
        <v>317.25</v>
      </c>
      <c r="Q47">
        <v>317.25</v>
      </c>
      <c r="R47" t="str">
        <f>IF(OR(P47&lt;Outliers!$B$5, P47&gt;Outliers!$B$6), "outliers", "")</f>
        <v/>
      </c>
    </row>
    <row r="48" spans="1:18" x14ac:dyDescent="0.25">
      <c r="A48" t="s">
        <v>228</v>
      </c>
      <c r="B48" s="1">
        <v>45469</v>
      </c>
      <c r="C48">
        <v>2024</v>
      </c>
      <c r="D48" t="s">
        <v>53</v>
      </c>
      <c r="E48" t="s">
        <v>229</v>
      </c>
      <c r="F48" t="s">
        <v>20</v>
      </c>
      <c r="G48">
        <v>4</v>
      </c>
      <c r="H48">
        <v>550.14</v>
      </c>
      <c r="I48" t="s">
        <v>230</v>
      </c>
      <c r="J48" t="s">
        <v>22</v>
      </c>
      <c r="K48" t="s">
        <v>96</v>
      </c>
      <c r="L48" t="s">
        <v>231</v>
      </c>
      <c r="M48">
        <v>4</v>
      </c>
      <c r="N48" t="s">
        <v>42</v>
      </c>
      <c r="O48" t="s">
        <v>26</v>
      </c>
      <c r="P48">
        <v>2200.56</v>
      </c>
      <c r="Q48">
        <v>2200.56</v>
      </c>
      <c r="R48" t="str">
        <f>IF(OR(P48&lt;Outliers!$B$5, P48&gt;Outliers!$B$6), "outliers", "")</f>
        <v/>
      </c>
    </row>
    <row r="49" spans="1:18" x14ac:dyDescent="0.25">
      <c r="A49" t="s">
        <v>232</v>
      </c>
      <c r="B49" s="1">
        <v>45126</v>
      </c>
      <c r="C49">
        <v>2023</v>
      </c>
      <c r="D49" t="s">
        <v>28</v>
      </c>
      <c r="E49" t="s">
        <v>233</v>
      </c>
      <c r="F49" t="s">
        <v>80</v>
      </c>
      <c r="G49">
        <v>2</v>
      </c>
      <c r="H49">
        <v>209.94</v>
      </c>
      <c r="I49" t="s">
        <v>234</v>
      </c>
      <c r="J49" t="s">
        <v>39</v>
      </c>
      <c r="K49" t="s">
        <v>49</v>
      </c>
      <c r="L49" t="s">
        <v>235</v>
      </c>
      <c r="M49">
        <v>3</v>
      </c>
      <c r="N49" t="s">
        <v>42</v>
      </c>
      <c r="O49" t="s">
        <v>43</v>
      </c>
      <c r="P49">
        <v>419.88</v>
      </c>
      <c r="Q49">
        <v>419.88</v>
      </c>
      <c r="R49" t="str">
        <f>IF(OR(P49&lt;Outliers!$B$5, P49&gt;Outliers!$B$6), "outliers", "")</f>
        <v/>
      </c>
    </row>
    <row r="50" spans="1:18" x14ac:dyDescent="0.25">
      <c r="A50" t="s">
        <v>236</v>
      </c>
      <c r="B50" s="1">
        <v>45164</v>
      </c>
      <c r="C50">
        <v>2023</v>
      </c>
      <c r="D50" t="s">
        <v>28</v>
      </c>
      <c r="E50" t="s">
        <v>237</v>
      </c>
      <c r="F50" t="s">
        <v>20</v>
      </c>
      <c r="G50">
        <v>2</v>
      </c>
      <c r="H50">
        <v>80.77</v>
      </c>
      <c r="I50" t="s">
        <v>238</v>
      </c>
      <c r="J50" t="s">
        <v>22</v>
      </c>
      <c r="K50" t="s">
        <v>23</v>
      </c>
      <c r="L50" t="s">
        <v>239</v>
      </c>
      <c r="M50">
        <v>4</v>
      </c>
      <c r="O50" t="s">
        <v>83</v>
      </c>
      <c r="P50">
        <v>161.54</v>
      </c>
      <c r="Q50">
        <v>161.54</v>
      </c>
      <c r="R50" t="str">
        <f>IF(OR(P50&lt;Outliers!$B$5, P50&gt;Outliers!$B$6), "outliers", "")</f>
        <v/>
      </c>
    </row>
    <row r="51" spans="1:18" x14ac:dyDescent="0.25">
      <c r="A51" t="s">
        <v>240</v>
      </c>
      <c r="B51" s="1">
        <v>45206</v>
      </c>
      <c r="C51">
        <v>2023</v>
      </c>
      <c r="D51" t="s">
        <v>45</v>
      </c>
      <c r="E51" t="s">
        <v>241</v>
      </c>
      <c r="F51" t="s">
        <v>55</v>
      </c>
      <c r="G51">
        <v>1</v>
      </c>
      <c r="H51">
        <v>30.44</v>
      </c>
      <c r="I51" t="s">
        <v>136</v>
      </c>
      <c r="J51" t="s">
        <v>39</v>
      </c>
      <c r="K51" t="s">
        <v>23</v>
      </c>
      <c r="L51" t="s">
        <v>242</v>
      </c>
      <c r="M51">
        <v>1</v>
      </c>
      <c r="N51" t="s">
        <v>25</v>
      </c>
      <c r="O51" t="s">
        <v>43</v>
      </c>
      <c r="P51">
        <v>30.44</v>
      </c>
      <c r="Q51">
        <v>30.44</v>
      </c>
      <c r="R51" t="str">
        <f>IF(OR(P51&lt;Outliers!$B$5, P51&gt;Outliers!$B$6), "outliers", "")</f>
        <v/>
      </c>
    </row>
    <row r="52" spans="1:18" x14ac:dyDescent="0.25">
      <c r="A52" t="s">
        <v>243</v>
      </c>
      <c r="B52" s="1">
        <v>45138</v>
      </c>
      <c r="C52">
        <v>2023</v>
      </c>
      <c r="D52" t="s">
        <v>28</v>
      </c>
      <c r="E52" t="s">
        <v>244</v>
      </c>
      <c r="F52" t="s">
        <v>37</v>
      </c>
      <c r="G52">
        <v>1</v>
      </c>
      <c r="H52">
        <v>179.22</v>
      </c>
      <c r="I52" t="s">
        <v>245</v>
      </c>
      <c r="J52" t="s">
        <v>32</v>
      </c>
      <c r="K52" t="s">
        <v>40</v>
      </c>
      <c r="L52" t="s">
        <v>246</v>
      </c>
      <c r="M52">
        <v>6</v>
      </c>
      <c r="N52" t="s">
        <v>42</v>
      </c>
      <c r="O52" t="s">
        <v>26</v>
      </c>
      <c r="P52">
        <v>179.22</v>
      </c>
      <c r="Q52">
        <v>179.22</v>
      </c>
      <c r="R52" t="str">
        <f>IF(OR(P52&lt;Outliers!$B$5, P52&gt;Outliers!$B$6), "outliers", "")</f>
        <v/>
      </c>
    </row>
    <row r="53" spans="1:18" x14ac:dyDescent="0.25">
      <c r="A53" t="s">
        <v>247</v>
      </c>
      <c r="B53" s="1">
        <v>45656</v>
      </c>
      <c r="C53">
        <v>2024</v>
      </c>
      <c r="D53" t="s">
        <v>45</v>
      </c>
      <c r="E53" t="s">
        <v>248</v>
      </c>
      <c r="F53" t="s">
        <v>37</v>
      </c>
      <c r="G53">
        <v>1</v>
      </c>
      <c r="H53">
        <v>388.33</v>
      </c>
      <c r="I53" t="s">
        <v>249</v>
      </c>
      <c r="J53" t="s">
        <v>72</v>
      </c>
      <c r="K53" t="s">
        <v>49</v>
      </c>
      <c r="L53" t="s">
        <v>250</v>
      </c>
      <c r="M53">
        <v>2</v>
      </c>
      <c r="N53" t="s">
        <v>25</v>
      </c>
      <c r="O53" t="s">
        <v>51</v>
      </c>
      <c r="P53">
        <v>388.33</v>
      </c>
      <c r="Q53">
        <v>388.33</v>
      </c>
      <c r="R53" t="str">
        <f>IF(OR(P53&lt;Outliers!$B$5, P53&gt;Outliers!$B$6), "outliers", "")</f>
        <v/>
      </c>
    </row>
    <row r="54" spans="1:18" x14ac:dyDescent="0.25">
      <c r="A54" t="s">
        <v>251</v>
      </c>
      <c r="B54" s="1">
        <v>45543</v>
      </c>
      <c r="C54">
        <v>2024</v>
      </c>
      <c r="D54" t="s">
        <v>28</v>
      </c>
      <c r="E54" t="s">
        <v>252</v>
      </c>
      <c r="F54" t="s">
        <v>37</v>
      </c>
      <c r="G54">
        <v>1</v>
      </c>
      <c r="H54">
        <v>586.44000000000005</v>
      </c>
      <c r="I54" t="s">
        <v>253</v>
      </c>
      <c r="J54" t="s">
        <v>32</v>
      </c>
      <c r="K54" t="s">
        <v>49</v>
      </c>
      <c r="L54" t="s">
        <v>254</v>
      </c>
      <c r="M54">
        <v>5</v>
      </c>
      <c r="N54" t="s">
        <v>25</v>
      </c>
      <c r="O54" t="s">
        <v>51</v>
      </c>
      <c r="P54">
        <v>586.44000000000005</v>
      </c>
      <c r="Q54">
        <v>586.44000000000005</v>
      </c>
      <c r="R54" t="str">
        <f>IF(OR(P54&lt;Outliers!$B$5, P54&gt;Outliers!$B$6), "outliers", "")</f>
        <v/>
      </c>
    </row>
    <row r="55" spans="1:18" x14ac:dyDescent="0.25">
      <c r="A55" t="s">
        <v>255</v>
      </c>
      <c r="B55" s="1">
        <v>45430</v>
      </c>
      <c r="C55">
        <v>2024</v>
      </c>
      <c r="D55" t="s">
        <v>53</v>
      </c>
      <c r="E55" t="s">
        <v>256</v>
      </c>
      <c r="F55" t="s">
        <v>30</v>
      </c>
      <c r="G55">
        <v>4</v>
      </c>
      <c r="H55">
        <v>488.78</v>
      </c>
      <c r="I55" t="s">
        <v>38</v>
      </c>
      <c r="J55" t="s">
        <v>32</v>
      </c>
      <c r="K55" t="s">
        <v>49</v>
      </c>
      <c r="L55" t="s">
        <v>257</v>
      </c>
      <c r="M55">
        <v>5</v>
      </c>
      <c r="N55" t="s">
        <v>42</v>
      </c>
      <c r="O55" t="s">
        <v>83</v>
      </c>
      <c r="P55">
        <v>1955.12</v>
      </c>
      <c r="Q55">
        <v>1955.12</v>
      </c>
      <c r="R55" t="str">
        <f>IF(OR(P55&lt;Outliers!$B$5, P55&gt;Outliers!$B$6), "outliers", "")</f>
        <v/>
      </c>
    </row>
    <row r="56" spans="1:18" x14ac:dyDescent="0.25">
      <c r="A56" t="s">
        <v>258</v>
      </c>
      <c r="B56" s="1">
        <v>45743</v>
      </c>
      <c r="C56">
        <v>2025</v>
      </c>
      <c r="D56" t="s">
        <v>18</v>
      </c>
      <c r="E56" t="s">
        <v>259</v>
      </c>
      <c r="F56" t="s">
        <v>47</v>
      </c>
      <c r="G56">
        <v>1</v>
      </c>
      <c r="H56">
        <v>280.25</v>
      </c>
      <c r="I56" t="s">
        <v>260</v>
      </c>
      <c r="J56" t="s">
        <v>32</v>
      </c>
      <c r="K56" t="s">
        <v>96</v>
      </c>
      <c r="L56" t="s">
        <v>261</v>
      </c>
      <c r="M56">
        <v>5</v>
      </c>
      <c r="N56" t="s">
        <v>88</v>
      </c>
      <c r="O56" t="s">
        <v>43</v>
      </c>
      <c r="P56">
        <v>280.25</v>
      </c>
      <c r="Q56">
        <v>280.25</v>
      </c>
      <c r="R56" t="str">
        <f>IF(OR(P56&lt;Outliers!$B$5, P56&gt;Outliers!$B$6), "outliers", "")</f>
        <v/>
      </c>
    </row>
    <row r="57" spans="1:18" x14ac:dyDescent="0.25">
      <c r="A57" t="s">
        <v>262</v>
      </c>
      <c r="B57" s="1">
        <v>45832</v>
      </c>
      <c r="C57">
        <v>2025</v>
      </c>
      <c r="D57" t="s">
        <v>53</v>
      </c>
      <c r="E57" t="s">
        <v>263</v>
      </c>
      <c r="F57" t="s">
        <v>55</v>
      </c>
      <c r="G57">
        <v>3</v>
      </c>
      <c r="H57">
        <v>344.4</v>
      </c>
      <c r="I57" t="s">
        <v>264</v>
      </c>
      <c r="J57" t="s">
        <v>32</v>
      </c>
      <c r="K57" t="s">
        <v>40</v>
      </c>
      <c r="L57" t="s">
        <v>265</v>
      </c>
      <c r="M57">
        <v>3</v>
      </c>
      <c r="O57" t="s">
        <v>51</v>
      </c>
      <c r="P57">
        <v>1033.2</v>
      </c>
      <c r="Q57">
        <v>1033.2</v>
      </c>
      <c r="R57" t="str">
        <f>IF(OR(P57&lt;Outliers!$B$5, P57&gt;Outliers!$B$6), "outliers", "")</f>
        <v/>
      </c>
    </row>
    <row r="58" spans="1:18" x14ac:dyDescent="0.25">
      <c r="A58" t="s">
        <v>266</v>
      </c>
      <c r="B58" s="1">
        <v>45067</v>
      </c>
      <c r="C58">
        <v>2023</v>
      </c>
      <c r="D58" t="s">
        <v>53</v>
      </c>
      <c r="E58" t="s">
        <v>267</v>
      </c>
      <c r="F58" t="s">
        <v>37</v>
      </c>
      <c r="G58">
        <v>3</v>
      </c>
      <c r="H58">
        <v>479.21</v>
      </c>
      <c r="I58" t="s">
        <v>268</v>
      </c>
      <c r="J58" t="s">
        <v>72</v>
      </c>
      <c r="K58" t="s">
        <v>40</v>
      </c>
      <c r="L58" t="s">
        <v>269</v>
      </c>
      <c r="M58">
        <v>5</v>
      </c>
      <c r="N58" t="s">
        <v>88</v>
      </c>
      <c r="O58" t="s">
        <v>34</v>
      </c>
      <c r="P58">
        <v>1437.63</v>
      </c>
      <c r="Q58">
        <v>1437.63</v>
      </c>
      <c r="R58" t="str">
        <f>IF(OR(P58&lt;Outliers!$B$5, P58&gt;Outliers!$B$6), "outliers", "")</f>
        <v/>
      </c>
    </row>
    <row r="59" spans="1:18" x14ac:dyDescent="0.25">
      <c r="A59" t="s">
        <v>270</v>
      </c>
      <c r="B59" s="1">
        <v>44948</v>
      </c>
      <c r="C59">
        <v>2023</v>
      </c>
      <c r="D59" t="s">
        <v>18</v>
      </c>
      <c r="E59" t="s">
        <v>271</v>
      </c>
      <c r="F59" t="s">
        <v>55</v>
      </c>
      <c r="G59">
        <v>5</v>
      </c>
      <c r="H59">
        <v>314.27</v>
      </c>
      <c r="I59" t="s">
        <v>272</v>
      </c>
      <c r="J59" t="s">
        <v>72</v>
      </c>
      <c r="K59" t="s">
        <v>49</v>
      </c>
      <c r="L59" t="s">
        <v>273</v>
      </c>
      <c r="M59">
        <v>6</v>
      </c>
      <c r="N59" t="s">
        <v>25</v>
      </c>
      <c r="O59" t="s">
        <v>26</v>
      </c>
      <c r="P59">
        <v>1571.35</v>
      </c>
      <c r="Q59">
        <v>1571.35</v>
      </c>
      <c r="R59" t="str">
        <f>IF(OR(P59&lt;Outliers!$B$5, P59&gt;Outliers!$B$6), "outliers", "")</f>
        <v/>
      </c>
    </row>
    <row r="60" spans="1:18" x14ac:dyDescent="0.25">
      <c r="A60" t="s">
        <v>274</v>
      </c>
      <c r="B60" s="1">
        <v>44941</v>
      </c>
      <c r="C60">
        <v>2023</v>
      </c>
      <c r="D60" t="s">
        <v>18</v>
      </c>
      <c r="E60" t="s">
        <v>275</v>
      </c>
      <c r="F60" t="s">
        <v>30</v>
      </c>
      <c r="G60">
        <v>4</v>
      </c>
      <c r="H60">
        <v>474.69</v>
      </c>
      <c r="I60" t="s">
        <v>276</v>
      </c>
      <c r="J60" t="s">
        <v>67</v>
      </c>
      <c r="K60" t="s">
        <v>40</v>
      </c>
      <c r="L60" t="s">
        <v>277</v>
      </c>
      <c r="M60">
        <v>6</v>
      </c>
      <c r="N60" t="s">
        <v>25</v>
      </c>
      <c r="O60" t="s">
        <v>83</v>
      </c>
      <c r="P60">
        <v>1898.76</v>
      </c>
      <c r="Q60">
        <v>1898.76</v>
      </c>
      <c r="R60" t="str">
        <f>IF(OR(P60&lt;Outliers!$B$5, P60&gt;Outliers!$B$6), "outliers", "")</f>
        <v/>
      </c>
    </row>
    <row r="61" spans="1:18" x14ac:dyDescent="0.25">
      <c r="A61" t="s">
        <v>278</v>
      </c>
      <c r="B61" s="1">
        <v>45546</v>
      </c>
      <c r="C61">
        <v>2024</v>
      </c>
      <c r="D61" t="s">
        <v>28</v>
      </c>
      <c r="E61" t="s">
        <v>279</v>
      </c>
      <c r="F61" t="s">
        <v>47</v>
      </c>
      <c r="G61">
        <v>4</v>
      </c>
      <c r="H61">
        <v>593.27</v>
      </c>
      <c r="I61" t="s">
        <v>280</v>
      </c>
      <c r="J61" t="s">
        <v>32</v>
      </c>
      <c r="K61" t="s">
        <v>23</v>
      </c>
      <c r="L61" t="s">
        <v>281</v>
      </c>
      <c r="M61">
        <v>5</v>
      </c>
      <c r="O61" t="s">
        <v>51</v>
      </c>
      <c r="P61">
        <v>2373.08</v>
      </c>
      <c r="Q61">
        <v>2373.08</v>
      </c>
      <c r="R61" t="str">
        <f>IF(OR(P61&lt;Outliers!$B$5, P61&gt;Outliers!$B$6), "outliers", "")</f>
        <v/>
      </c>
    </row>
    <row r="62" spans="1:18" x14ac:dyDescent="0.25">
      <c r="A62" t="s">
        <v>282</v>
      </c>
      <c r="B62" s="1">
        <v>45525</v>
      </c>
      <c r="C62">
        <v>2024</v>
      </c>
      <c r="D62" t="s">
        <v>28</v>
      </c>
      <c r="E62" t="s">
        <v>283</v>
      </c>
      <c r="F62" t="s">
        <v>80</v>
      </c>
      <c r="G62">
        <v>1</v>
      </c>
      <c r="H62">
        <v>417.1</v>
      </c>
      <c r="I62" t="s">
        <v>284</v>
      </c>
      <c r="J62" t="s">
        <v>22</v>
      </c>
      <c r="K62" t="s">
        <v>49</v>
      </c>
      <c r="L62" t="s">
        <v>285</v>
      </c>
      <c r="M62">
        <v>3</v>
      </c>
      <c r="N62" t="s">
        <v>42</v>
      </c>
      <c r="O62" t="s">
        <v>34</v>
      </c>
      <c r="P62">
        <v>417.1</v>
      </c>
      <c r="Q62">
        <v>417.1</v>
      </c>
      <c r="R62" t="str">
        <f>IF(OR(P62&lt;Outliers!$B$5, P62&gt;Outliers!$B$6), "outliers", "")</f>
        <v/>
      </c>
    </row>
    <row r="63" spans="1:18" x14ac:dyDescent="0.25">
      <c r="A63" t="s">
        <v>286</v>
      </c>
      <c r="B63" s="1">
        <v>45375</v>
      </c>
      <c r="C63">
        <v>2024</v>
      </c>
      <c r="D63" t="s">
        <v>18</v>
      </c>
      <c r="E63" t="s">
        <v>287</v>
      </c>
      <c r="F63" t="s">
        <v>80</v>
      </c>
      <c r="G63">
        <v>4</v>
      </c>
      <c r="H63">
        <v>122.2</v>
      </c>
      <c r="I63" t="s">
        <v>288</v>
      </c>
      <c r="J63" t="s">
        <v>72</v>
      </c>
      <c r="K63" t="s">
        <v>57</v>
      </c>
      <c r="L63" t="s">
        <v>289</v>
      </c>
      <c r="M63">
        <v>7</v>
      </c>
      <c r="N63" t="s">
        <v>42</v>
      </c>
      <c r="O63" t="s">
        <v>51</v>
      </c>
      <c r="P63">
        <v>488.8</v>
      </c>
      <c r="Q63">
        <v>488.8</v>
      </c>
      <c r="R63" t="str">
        <f>IF(OR(P63&lt;Outliers!$B$5, P63&gt;Outliers!$B$6), "outliers", "")</f>
        <v/>
      </c>
    </row>
    <row r="64" spans="1:18" x14ac:dyDescent="0.25">
      <c r="A64" t="s">
        <v>290</v>
      </c>
      <c r="B64" s="1">
        <v>45160</v>
      </c>
      <c r="C64">
        <v>2023</v>
      </c>
      <c r="D64" t="s">
        <v>28</v>
      </c>
      <c r="E64" t="s">
        <v>291</v>
      </c>
      <c r="F64" t="s">
        <v>80</v>
      </c>
      <c r="G64">
        <v>2</v>
      </c>
      <c r="H64">
        <v>43.15</v>
      </c>
      <c r="I64" t="s">
        <v>292</v>
      </c>
      <c r="J64" t="s">
        <v>22</v>
      </c>
      <c r="K64" t="s">
        <v>96</v>
      </c>
      <c r="L64" t="s">
        <v>293</v>
      </c>
      <c r="M64">
        <v>3</v>
      </c>
      <c r="N64" t="s">
        <v>88</v>
      </c>
      <c r="O64" t="s">
        <v>43</v>
      </c>
      <c r="P64">
        <v>86.3</v>
      </c>
      <c r="Q64">
        <v>86.3</v>
      </c>
      <c r="R64" t="str">
        <f>IF(OR(P64&lt;Outliers!$B$5, P64&gt;Outliers!$B$6), "outliers", "")</f>
        <v/>
      </c>
    </row>
    <row r="65" spans="1:18" x14ac:dyDescent="0.25">
      <c r="A65" t="s">
        <v>294</v>
      </c>
      <c r="B65" s="1">
        <v>45690</v>
      </c>
      <c r="C65">
        <v>2025</v>
      </c>
      <c r="D65" t="s">
        <v>18</v>
      </c>
      <c r="E65" t="s">
        <v>295</v>
      </c>
      <c r="F65" t="s">
        <v>47</v>
      </c>
      <c r="G65">
        <v>1</v>
      </c>
      <c r="H65">
        <v>564.86</v>
      </c>
      <c r="I65" t="s">
        <v>296</v>
      </c>
      <c r="J65" t="s">
        <v>22</v>
      </c>
      <c r="K65" t="s">
        <v>23</v>
      </c>
      <c r="L65" t="s">
        <v>297</v>
      </c>
      <c r="M65">
        <v>6</v>
      </c>
      <c r="N65" t="s">
        <v>88</v>
      </c>
      <c r="O65" t="s">
        <v>34</v>
      </c>
      <c r="P65">
        <v>564.86</v>
      </c>
      <c r="Q65">
        <v>564.86</v>
      </c>
      <c r="R65" t="str">
        <f>IF(OR(P65&lt;Outliers!$B$5, P65&gt;Outliers!$B$6), "outliers", "")</f>
        <v/>
      </c>
    </row>
    <row r="66" spans="1:18" x14ac:dyDescent="0.25">
      <c r="A66" t="s">
        <v>298</v>
      </c>
      <c r="B66" s="1">
        <v>45833</v>
      </c>
      <c r="C66">
        <v>2025</v>
      </c>
      <c r="D66" t="s">
        <v>53</v>
      </c>
      <c r="E66" t="s">
        <v>299</v>
      </c>
      <c r="F66" t="s">
        <v>55</v>
      </c>
      <c r="G66">
        <v>3</v>
      </c>
      <c r="H66">
        <v>130.61000000000001</v>
      </c>
      <c r="I66" t="s">
        <v>300</v>
      </c>
      <c r="J66" t="s">
        <v>22</v>
      </c>
      <c r="K66" t="s">
        <v>40</v>
      </c>
      <c r="L66" t="s">
        <v>301</v>
      </c>
      <c r="M66">
        <v>4</v>
      </c>
      <c r="N66" t="s">
        <v>42</v>
      </c>
      <c r="O66" t="s">
        <v>51</v>
      </c>
      <c r="P66">
        <v>391.83</v>
      </c>
      <c r="Q66">
        <v>391.83</v>
      </c>
      <c r="R66" t="str">
        <f>IF(OR(P66&lt;Outliers!$B$5, P66&gt;Outliers!$B$6), "outliers", "")</f>
        <v/>
      </c>
    </row>
    <row r="67" spans="1:18" x14ac:dyDescent="0.25">
      <c r="A67" t="s">
        <v>302</v>
      </c>
      <c r="B67" s="1">
        <v>45290</v>
      </c>
      <c r="C67">
        <v>2023</v>
      </c>
      <c r="D67" t="s">
        <v>45</v>
      </c>
      <c r="E67" t="s">
        <v>303</v>
      </c>
      <c r="F67" t="s">
        <v>20</v>
      </c>
      <c r="G67">
        <v>5</v>
      </c>
      <c r="H67">
        <v>81.7</v>
      </c>
      <c r="I67" t="s">
        <v>304</v>
      </c>
      <c r="J67" t="s">
        <v>39</v>
      </c>
      <c r="K67" t="s">
        <v>57</v>
      </c>
      <c r="L67" t="s">
        <v>305</v>
      </c>
      <c r="M67">
        <v>6</v>
      </c>
      <c r="O67" t="s">
        <v>26</v>
      </c>
      <c r="P67">
        <v>408.5</v>
      </c>
      <c r="Q67">
        <v>408.5</v>
      </c>
      <c r="R67" t="str">
        <f>IF(OR(P67&lt;Outliers!$B$5, P67&gt;Outliers!$B$6), "outliers", "")</f>
        <v/>
      </c>
    </row>
    <row r="68" spans="1:18" x14ac:dyDescent="0.25">
      <c r="A68" t="s">
        <v>306</v>
      </c>
      <c r="B68" s="1">
        <v>45611</v>
      </c>
      <c r="C68">
        <v>2024</v>
      </c>
      <c r="D68" t="s">
        <v>45</v>
      </c>
      <c r="E68" t="s">
        <v>307</v>
      </c>
      <c r="F68" t="s">
        <v>47</v>
      </c>
      <c r="G68">
        <v>5</v>
      </c>
      <c r="H68">
        <v>127.18</v>
      </c>
      <c r="I68" t="s">
        <v>308</v>
      </c>
      <c r="J68" t="s">
        <v>72</v>
      </c>
      <c r="K68" t="s">
        <v>40</v>
      </c>
      <c r="L68" t="s">
        <v>309</v>
      </c>
      <c r="M68">
        <v>9</v>
      </c>
      <c r="N68" t="s">
        <v>25</v>
      </c>
      <c r="O68" t="s">
        <v>34</v>
      </c>
      <c r="P68">
        <v>635.9</v>
      </c>
      <c r="Q68">
        <v>635.9</v>
      </c>
      <c r="R68" t="str">
        <f>IF(OR(P68&lt;Outliers!$B$5, P68&gt;Outliers!$B$6), "outliers", "")</f>
        <v/>
      </c>
    </row>
    <row r="69" spans="1:18" x14ac:dyDescent="0.25">
      <c r="A69" t="s">
        <v>310</v>
      </c>
      <c r="B69" s="1">
        <v>45635</v>
      </c>
      <c r="C69">
        <v>2024</v>
      </c>
      <c r="D69" t="s">
        <v>45</v>
      </c>
      <c r="E69" t="s">
        <v>311</v>
      </c>
      <c r="F69" t="s">
        <v>55</v>
      </c>
      <c r="G69">
        <v>4</v>
      </c>
      <c r="H69">
        <v>12.1</v>
      </c>
      <c r="I69" t="s">
        <v>312</v>
      </c>
      <c r="J69" t="s">
        <v>22</v>
      </c>
      <c r="K69" t="s">
        <v>40</v>
      </c>
      <c r="L69" t="s">
        <v>313</v>
      </c>
      <c r="M69">
        <v>8</v>
      </c>
      <c r="O69" t="s">
        <v>83</v>
      </c>
      <c r="P69">
        <v>48.4</v>
      </c>
      <c r="Q69">
        <v>48.4</v>
      </c>
      <c r="R69" t="str">
        <f>IF(OR(P69&lt;Outliers!$B$5, P69&gt;Outliers!$B$6), "outliers", "")</f>
        <v/>
      </c>
    </row>
    <row r="70" spans="1:18" x14ac:dyDescent="0.25">
      <c r="A70" t="s">
        <v>314</v>
      </c>
      <c r="B70" s="1">
        <v>45271</v>
      </c>
      <c r="C70">
        <v>2023</v>
      </c>
      <c r="D70" t="s">
        <v>45</v>
      </c>
      <c r="E70" t="s">
        <v>315</v>
      </c>
      <c r="F70" t="s">
        <v>47</v>
      </c>
      <c r="G70">
        <v>3</v>
      </c>
      <c r="H70">
        <v>490.92</v>
      </c>
      <c r="I70" t="s">
        <v>148</v>
      </c>
      <c r="J70" t="s">
        <v>39</v>
      </c>
      <c r="K70" t="s">
        <v>96</v>
      </c>
      <c r="L70" t="s">
        <v>316</v>
      </c>
      <c r="M70">
        <v>5</v>
      </c>
      <c r="N70" t="s">
        <v>42</v>
      </c>
      <c r="O70" t="s">
        <v>43</v>
      </c>
      <c r="P70">
        <v>1472.76</v>
      </c>
      <c r="Q70">
        <v>1472.76</v>
      </c>
      <c r="R70" t="str">
        <f>IF(OR(P70&lt;Outliers!$B$5, P70&gt;Outliers!$B$6), "outliers", "")</f>
        <v/>
      </c>
    </row>
    <row r="71" spans="1:18" x14ac:dyDescent="0.25">
      <c r="A71" t="s">
        <v>317</v>
      </c>
      <c r="B71" s="1">
        <v>45057</v>
      </c>
      <c r="C71">
        <v>2023</v>
      </c>
      <c r="D71" t="s">
        <v>53</v>
      </c>
      <c r="E71" t="s">
        <v>318</v>
      </c>
      <c r="F71" t="s">
        <v>20</v>
      </c>
      <c r="G71">
        <v>3</v>
      </c>
      <c r="H71">
        <v>478.65</v>
      </c>
      <c r="I71" t="s">
        <v>319</v>
      </c>
      <c r="J71" t="s">
        <v>32</v>
      </c>
      <c r="K71" t="s">
        <v>23</v>
      </c>
      <c r="L71" t="s">
        <v>320</v>
      </c>
      <c r="M71">
        <v>4</v>
      </c>
      <c r="O71" t="s">
        <v>34</v>
      </c>
      <c r="P71">
        <v>1435.95</v>
      </c>
      <c r="Q71">
        <v>1435.95</v>
      </c>
      <c r="R71" t="str">
        <f>IF(OR(P71&lt;Outliers!$B$5, P71&gt;Outliers!$B$6), "outliers", "")</f>
        <v/>
      </c>
    </row>
    <row r="72" spans="1:18" x14ac:dyDescent="0.25">
      <c r="A72" t="s">
        <v>321</v>
      </c>
      <c r="B72" s="1">
        <v>45072</v>
      </c>
      <c r="C72">
        <v>2023</v>
      </c>
      <c r="D72" t="s">
        <v>53</v>
      </c>
      <c r="E72" t="s">
        <v>322</v>
      </c>
      <c r="F72" t="s">
        <v>80</v>
      </c>
      <c r="G72">
        <v>1</v>
      </c>
      <c r="H72">
        <v>629.21</v>
      </c>
      <c r="I72" t="s">
        <v>323</v>
      </c>
      <c r="J72" t="s">
        <v>67</v>
      </c>
      <c r="K72" t="s">
        <v>96</v>
      </c>
      <c r="L72" t="s">
        <v>324</v>
      </c>
      <c r="M72">
        <v>2</v>
      </c>
      <c r="N72" t="s">
        <v>42</v>
      </c>
      <c r="O72" t="s">
        <v>26</v>
      </c>
      <c r="P72">
        <v>629.21</v>
      </c>
      <c r="Q72">
        <v>629.21</v>
      </c>
      <c r="R72" t="str">
        <f>IF(OR(P72&lt;Outliers!$B$5, P72&gt;Outliers!$B$6), "outliers", "")</f>
        <v/>
      </c>
    </row>
    <row r="73" spans="1:18" x14ac:dyDescent="0.25">
      <c r="A73" t="s">
        <v>325</v>
      </c>
      <c r="B73" s="1">
        <v>45818</v>
      </c>
      <c r="C73">
        <v>2025</v>
      </c>
      <c r="D73" t="s">
        <v>53</v>
      </c>
      <c r="E73" t="s">
        <v>326</v>
      </c>
      <c r="F73" t="s">
        <v>20</v>
      </c>
      <c r="G73">
        <v>3</v>
      </c>
      <c r="H73">
        <v>434.45</v>
      </c>
      <c r="I73" t="s">
        <v>327</v>
      </c>
      <c r="J73" t="s">
        <v>39</v>
      </c>
      <c r="K73" t="s">
        <v>96</v>
      </c>
      <c r="L73" t="s">
        <v>328</v>
      </c>
      <c r="M73">
        <v>4</v>
      </c>
      <c r="O73" t="s">
        <v>34</v>
      </c>
      <c r="P73">
        <v>1303.3499999999999</v>
      </c>
      <c r="Q73">
        <v>1303.3499999999999</v>
      </c>
      <c r="R73" t="str">
        <f>IF(OR(P73&lt;Outliers!$B$5, P73&gt;Outliers!$B$6), "outliers", "")</f>
        <v/>
      </c>
    </row>
    <row r="74" spans="1:18" x14ac:dyDescent="0.25">
      <c r="A74" t="s">
        <v>329</v>
      </c>
      <c r="B74" s="1">
        <v>45648</v>
      </c>
      <c r="C74">
        <v>2024</v>
      </c>
      <c r="D74" t="s">
        <v>45</v>
      </c>
      <c r="E74" t="s">
        <v>330</v>
      </c>
      <c r="F74" t="s">
        <v>37</v>
      </c>
      <c r="G74">
        <v>4</v>
      </c>
      <c r="H74">
        <v>589.44000000000005</v>
      </c>
      <c r="I74" t="s">
        <v>108</v>
      </c>
      <c r="J74" t="s">
        <v>67</v>
      </c>
      <c r="K74" t="s">
        <v>49</v>
      </c>
      <c r="L74" t="s">
        <v>331</v>
      </c>
      <c r="M74">
        <v>5</v>
      </c>
      <c r="O74" t="s">
        <v>51</v>
      </c>
      <c r="P74">
        <v>2357.7600000000002</v>
      </c>
      <c r="Q74">
        <v>2357.7600000000002</v>
      </c>
      <c r="R74" t="str">
        <f>IF(OR(P74&lt;Outliers!$B$5, P74&gt;Outliers!$B$6), "outliers", "")</f>
        <v/>
      </c>
    </row>
    <row r="75" spans="1:18" x14ac:dyDescent="0.25">
      <c r="A75" t="s">
        <v>332</v>
      </c>
      <c r="B75" s="1">
        <v>45049</v>
      </c>
      <c r="C75">
        <v>2023</v>
      </c>
      <c r="D75" t="s">
        <v>53</v>
      </c>
      <c r="E75" t="s">
        <v>333</v>
      </c>
      <c r="F75" t="s">
        <v>20</v>
      </c>
      <c r="G75">
        <v>4</v>
      </c>
      <c r="H75">
        <v>433.45</v>
      </c>
      <c r="I75" t="s">
        <v>334</v>
      </c>
      <c r="J75" t="s">
        <v>67</v>
      </c>
      <c r="K75" t="s">
        <v>40</v>
      </c>
      <c r="L75" t="s">
        <v>335</v>
      </c>
      <c r="M75">
        <v>4</v>
      </c>
      <c r="O75" t="s">
        <v>51</v>
      </c>
      <c r="P75">
        <v>1733.8</v>
      </c>
      <c r="Q75">
        <v>1733.8</v>
      </c>
      <c r="R75" t="str">
        <f>IF(OR(P75&lt;Outliers!$B$5, P75&gt;Outliers!$B$6), "outliers", "")</f>
        <v/>
      </c>
    </row>
    <row r="76" spans="1:18" x14ac:dyDescent="0.25">
      <c r="A76" t="s">
        <v>336</v>
      </c>
      <c r="B76" s="1">
        <v>45101</v>
      </c>
      <c r="C76">
        <v>2023</v>
      </c>
      <c r="D76" t="s">
        <v>53</v>
      </c>
      <c r="E76" t="s">
        <v>337</v>
      </c>
      <c r="F76" t="s">
        <v>30</v>
      </c>
      <c r="G76">
        <v>5</v>
      </c>
      <c r="H76">
        <v>90.87</v>
      </c>
      <c r="I76" t="s">
        <v>338</v>
      </c>
      <c r="J76" t="s">
        <v>72</v>
      </c>
      <c r="K76" t="s">
        <v>96</v>
      </c>
      <c r="L76" t="s">
        <v>339</v>
      </c>
      <c r="M76">
        <v>5</v>
      </c>
      <c r="O76" t="s">
        <v>26</v>
      </c>
      <c r="P76">
        <v>454.35</v>
      </c>
      <c r="Q76">
        <v>454.35</v>
      </c>
      <c r="R76" t="str">
        <f>IF(OR(P76&lt;Outliers!$B$5, P76&gt;Outliers!$B$6), "outliers", "")</f>
        <v/>
      </c>
    </row>
    <row r="77" spans="1:18" x14ac:dyDescent="0.25">
      <c r="A77" t="s">
        <v>340</v>
      </c>
      <c r="B77" s="1">
        <v>45195</v>
      </c>
      <c r="C77">
        <v>2023</v>
      </c>
      <c r="D77" t="s">
        <v>28</v>
      </c>
      <c r="E77" t="s">
        <v>341</v>
      </c>
      <c r="F77" t="s">
        <v>37</v>
      </c>
      <c r="G77">
        <v>3</v>
      </c>
      <c r="H77">
        <v>398.17</v>
      </c>
      <c r="I77" t="s">
        <v>342</v>
      </c>
      <c r="J77" t="s">
        <v>22</v>
      </c>
      <c r="K77" t="s">
        <v>57</v>
      </c>
      <c r="L77" t="s">
        <v>343</v>
      </c>
      <c r="M77">
        <v>5</v>
      </c>
      <c r="N77" t="s">
        <v>25</v>
      </c>
      <c r="O77" t="s">
        <v>43</v>
      </c>
      <c r="P77">
        <v>1194.51</v>
      </c>
      <c r="Q77">
        <v>1194.51</v>
      </c>
      <c r="R77" t="str">
        <f>IF(OR(P77&lt;Outliers!$B$5, P77&gt;Outliers!$B$6), "outliers", "")</f>
        <v/>
      </c>
    </row>
    <row r="78" spans="1:18" x14ac:dyDescent="0.25">
      <c r="A78" t="s">
        <v>344</v>
      </c>
      <c r="B78" s="1">
        <v>45382</v>
      </c>
      <c r="C78">
        <v>2024</v>
      </c>
      <c r="D78" t="s">
        <v>18</v>
      </c>
      <c r="E78" t="s">
        <v>345</v>
      </c>
      <c r="F78" t="s">
        <v>65</v>
      </c>
      <c r="G78">
        <v>4</v>
      </c>
      <c r="H78">
        <v>382.88</v>
      </c>
      <c r="I78" t="s">
        <v>346</v>
      </c>
      <c r="J78" t="s">
        <v>72</v>
      </c>
      <c r="K78" t="s">
        <v>40</v>
      </c>
      <c r="L78" t="s">
        <v>347</v>
      </c>
      <c r="M78">
        <v>6</v>
      </c>
      <c r="N78" t="s">
        <v>88</v>
      </c>
      <c r="O78" t="s">
        <v>43</v>
      </c>
      <c r="P78">
        <v>1531.52</v>
      </c>
      <c r="Q78">
        <v>1531.52</v>
      </c>
      <c r="R78" t="str">
        <f>IF(OR(P78&lt;Outliers!$B$5, P78&gt;Outliers!$B$6), "outliers", "")</f>
        <v/>
      </c>
    </row>
    <row r="79" spans="1:18" x14ac:dyDescent="0.25">
      <c r="A79" t="s">
        <v>348</v>
      </c>
      <c r="B79" s="1">
        <v>45436</v>
      </c>
      <c r="C79">
        <v>2024</v>
      </c>
      <c r="D79" t="s">
        <v>53</v>
      </c>
      <c r="E79" t="s">
        <v>349</v>
      </c>
      <c r="F79" t="s">
        <v>30</v>
      </c>
      <c r="G79">
        <v>1</v>
      </c>
      <c r="H79">
        <v>583.17999999999995</v>
      </c>
      <c r="I79" t="s">
        <v>350</v>
      </c>
      <c r="J79" t="s">
        <v>39</v>
      </c>
      <c r="K79" t="s">
        <v>49</v>
      </c>
      <c r="L79" t="s">
        <v>351</v>
      </c>
      <c r="M79">
        <v>5</v>
      </c>
      <c r="O79" t="s">
        <v>83</v>
      </c>
      <c r="P79">
        <v>583.17999999999995</v>
      </c>
      <c r="Q79">
        <v>583.17999999999995</v>
      </c>
      <c r="R79" t="str">
        <f>IF(OR(P79&lt;Outliers!$B$5, P79&gt;Outliers!$B$6), "outliers", "")</f>
        <v/>
      </c>
    </row>
    <row r="80" spans="1:18" x14ac:dyDescent="0.25">
      <c r="A80" t="s">
        <v>352</v>
      </c>
      <c r="B80" s="1">
        <v>45510</v>
      </c>
      <c r="C80">
        <v>2024</v>
      </c>
      <c r="D80" t="s">
        <v>28</v>
      </c>
      <c r="E80" t="s">
        <v>353</v>
      </c>
      <c r="F80" t="s">
        <v>55</v>
      </c>
      <c r="G80">
        <v>4</v>
      </c>
      <c r="H80">
        <v>175.36</v>
      </c>
      <c r="I80" t="s">
        <v>354</v>
      </c>
      <c r="J80" t="s">
        <v>22</v>
      </c>
      <c r="K80" t="s">
        <v>57</v>
      </c>
      <c r="L80" t="s">
        <v>355</v>
      </c>
      <c r="M80">
        <v>4</v>
      </c>
      <c r="N80" t="s">
        <v>42</v>
      </c>
      <c r="O80" t="s">
        <v>26</v>
      </c>
      <c r="P80">
        <v>701.44</v>
      </c>
      <c r="Q80">
        <v>701.44</v>
      </c>
      <c r="R80" t="str">
        <f>IF(OR(P80&lt;Outliers!$B$5, P80&gt;Outliers!$B$6), "outliers", "")</f>
        <v/>
      </c>
    </row>
    <row r="81" spans="1:18" x14ac:dyDescent="0.25">
      <c r="A81" t="s">
        <v>356</v>
      </c>
      <c r="B81" s="1">
        <v>45726</v>
      </c>
      <c r="C81">
        <v>2025</v>
      </c>
      <c r="D81" t="s">
        <v>18</v>
      </c>
      <c r="E81" t="s">
        <v>357</v>
      </c>
      <c r="F81" t="s">
        <v>37</v>
      </c>
      <c r="G81">
        <v>2</v>
      </c>
      <c r="H81">
        <v>311.91000000000003</v>
      </c>
      <c r="I81" t="s">
        <v>358</v>
      </c>
      <c r="J81" t="s">
        <v>32</v>
      </c>
      <c r="K81" t="s">
        <v>23</v>
      </c>
      <c r="L81" t="s">
        <v>359</v>
      </c>
      <c r="M81">
        <v>2</v>
      </c>
      <c r="O81" t="s">
        <v>51</v>
      </c>
      <c r="P81">
        <v>623.82000000000005</v>
      </c>
      <c r="Q81">
        <v>623.82000000000005</v>
      </c>
      <c r="R81" t="str">
        <f>IF(OR(P81&lt;Outliers!$B$5, P81&gt;Outliers!$B$6), "outliers", "")</f>
        <v/>
      </c>
    </row>
    <row r="82" spans="1:18" x14ac:dyDescent="0.25">
      <c r="A82" t="s">
        <v>360</v>
      </c>
      <c r="B82" s="1">
        <v>45104</v>
      </c>
      <c r="C82">
        <v>2023</v>
      </c>
      <c r="D82" t="s">
        <v>53</v>
      </c>
      <c r="E82" t="s">
        <v>361</v>
      </c>
      <c r="F82" t="s">
        <v>30</v>
      </c>
      <c r="G82">
        <v>3</v>
      </c>
      <c r="H82">
        <v>589.55999999999995</v>
      </c>
      <c r="I82" t="s">
        <v>362</v>
      </c>
      <c r="J82" t="s">
        <v>32</v>
      </c>
      <c r="K82" t="s">
        <v>49</v>
      </c>
      <c r="L82" t="s">
        <v>363</v>
      </c>
      <c r="M82">
        <v>6</v>
      </c>
      <c r="O82" t="s">
        <v>51</v>
      </c>
      <c r="P82">
        <v>1768.68</v>
      </c>
      <c r="Q82">
        <v>1768.68</v>
      </c>
      <c r="R82" t="str">
        <f>IF(OR(P82&lt;Outliers!$B$5, P82&gt;Outliers!$B$6), "outliers", "")</f>
        <v/>
      </c>
    </row>
    <row r="83" spans="1:18" x14ac:dyDescent="0.25">
      <c r="A83" t="s">
        <v>364</v>
      </c>
      <c r="B83" s="1">
        <v>45085</v>
      </c>
      <c r="C83">
        <v>2023</v>
      </c>
      <c r="D83" t="s">
        <v>53</v>
      </c>
      <c r="E83" t="s">
        <v>365</v>
      </c>
      <c r="F83" t="s">
        <v>20</v>
      </c>
      <c r="G83">
        <v>2</v>
      </c>
      <c r="H83">
        <v>394.3</v>
      </c>
      <c r="I83" t="s">
        <v>366</v>
      </c>
      <c r="J83" t="s">
        <v>72</v>
      </c>
      <c r="K83" t="s">
        <v>23</v>
      </c>
      <c r="L83" t="s">
        <v>367</v>
      </c>
      <c r="M83">
        <v>6</v>
      </c>
      <c r="N83" t="s">
        <v>42</v>
      </c>
      <c r="O83" t="s">
        <v>43</v>
      </c>
      <c r="P83">
        <v>788.6</v>
      </c>
      <c r="Q83">
        <v>788.6</v>
      </c>
      <c r="R83" t="str">
        <f>IF(OR(P83&lt;Outliers!$B$5, P83&gt;Outliers!$B$6), "outliers", "")</f>
        <v/>
      </c>
    </row>
    <row r="84" spans="1:18" x14ac:dyDescent="0.25">
      <c r="A84" t="s">
        <v>368</v>
      </c>
      <c r="B84" s="1">
        <v>45296</v>
      </c>
      <c r="C84">
        <v>2024</v>
      </c>
      <c r="D84" t="s">
        <v>18</v>
      </c>
      <c r="E84" t="s">
        <v>369</v>
      </c>
      <c r="F84" t="s">
        <v>37</v>
      </c>
      <c r="G84">
        <v>4</v>
      </c>
      <c r="H84">
        <v>565.20000000000005</v>
      </c>
      <c r="I84" t="s">
        <v>370</v>
      </c>
      <c r="J84" t="s">
        <v>22</v>
      </c>
      <c r="K84" t="s">
        <v>23</v>
      </c>
      <c r="L84" t="s">
        <v>371</v>
      </c>
      <c r="M84">
        <v>9</v>
      </c>
      <c r="N84" t="s">
        <v>25</v>
      </c>
      <c r="O84" t="s">
        <v>83</v>
      </c>
      <c r="P84">
        <v>2260.8000000000002</v>
      </c>
      <c r="Q84">
        <v>2260.8000000000002</v>
      </c>
      <c r="R84" t="str">
        <f>IF(OR(P84&lt;Outliers!$B$5, P84&gt;Outliers!$B$6), "outliers", "")</f>
        <v/>
      </c>
    </row>
    <row r="85" spans="1:18" x14ac:dyDescent="0.25">
      <c r="A85" t="s">
        <v>372</v>
      </c>
      <c r="B85" s="1">
        <v>45160</v>
      </c>
      <c r="C85">
        <v>2023</v>
      </c>
      <c r="D85" t="s">
        <v>28</v>
      </c>
      <c r="E85" t="s">
        <v>373</v>
      </c>
      <c r="F85" t="s">
        <v>65</v>
      </c>
      <c r="G85">
        <v>4</v>
      </c>
      <c r="H85">
        <v>540.41</v>
      </c>
      <c r="I85" t="s">
        <v>374</v>
      </c>
      <c r="J85" t="s">
        <v>39</v>
      </c>
      <c r="K85" t="s">
        <v>40</v>
      </c>
      <c r="L85" t="s">
        <v>375</v>
      </c>
      <c r="M85">
        <v>6</v>
      </c>
      <c r="O85" t="s">
        <v>34</v>
      </c>
      <c r="P85">
        <v>2161.64</v>
      </c>
      <c r="Q85">
        <v>2161.64</v>
      </c>
      <c r="R85" t="str">
        <f>IF(OR(P85&lt;Outliers!$B$5, P85&gt;Outliers!$B$6), "outliers", "")</f>
        <v/>
      </c>
    </row>
    <row r="86" spans="1:18" x14ac:dyDescent="0.25">
      <c r="A86" t="s">
        <v>376</v>
      </c>
      <c r="B86" s="1">
        <v>45166</v>
      </c>
      <c r="C86">
        <v>2023</v>
      </c>
      <c r="D86" t="s">
        <v>28</v>
      </c>
      <c r="E86" t="s">
        <v>377</v>
      </c>
      <c r="F86" t="s">
        <v>20</v>
      </c>
      <c r="G86">
        <v>2</v>
      </c>
      <c r="H86">
        <v>165.49</v>
      </c>
      <c r="I86" t="s">
        <v>378</v>
      </c>
      <c r="J86" t="s">
        <v>32</v>
      </c>
      <c r="K86" t="s">
        <v>23</v>
      </c>
      <c r="L86" t="s">
        <v>379</v>
      </c>
      <c r="M86">
        <v>4</v>
      </c>
      <c r="N86" t="s">
        <v>88</v>
      </c>
      <c r="O86" t="s">
        <v>26</v>
      </c>
      <c r="P86">
        <v>330.98</v>
      </c>
      <c r="Q86">
        <v>330.98</v>
      </c>
      <c r="R86" t="str">
        <f>IF(OR(P86&lt;Outliers!$B$5, P86&gt;Outliers!$B$6), "outliers", "")</f>
        <v/>
      </c>
    </row>
    <row r="87" spans="1:18" x14ac:dyDescent="0.25">
      <c r="A87" t="s">
        <v>380</v>
      </c>
      <c r="B87" s="1">
        <v>45544</v>
      </c>
      <c r="C87">
        <v>2024</v>
      </c>
      <c r="D87" t="s">
        <v>28</v>
      </c>
      <c r="E87" t="s">
        <v>381</v>
      </c>
      <c r="F87" t="s">
        <v>37</v>
      </c>
      <c r="G87">
        <v>3</v>
      </c>
      <c r="H87">
        <v>146.72999999999999</v>
      </c>
      <c r="I87" t="s">
        <v>382</v>
      </c>
      <c r="J87" t="s">
        <v>72</v>
      </c>
      <c r="K87" t="s">
        <v>57</v>
      </c>
      <c r="L87" t="s">
        <v>383</v>
      </c>
      <c r="M87">
        <v>8</v>
      </c>
      <c r="N87" t="s">
        <v>42</v>
      </c>
      <c r="O87" t="s">
        <v>43</v>
      </c>
      <c r="P87">
        <v>440.19</v>
      </c>
      <c r="Q87">
        <v>440.19</v>
      </c>
      <c r="R87" t="str">
        <f>IF(OR(P87&lt;Outliers!$B$5, P87&gt;Outliers!$B$6), "outliers", "")</f>
        <v/>
      </c>
    </row>
    <row r="88" spans="1:18" x14ac:dyDescent="0.25">
      <c r="A88" t="s">
        <v>384</v>
      </c>
      <c r="B88" s="1">
        <v>45462</v>
      </c>
      <c r="C88">
        <v>2024</v>
      </c>
      <c r="D88" t="s">
        <v>53</v>
      </c>
      <c r="E88" t="s">
        <v>385</v>
      </c>
      <c r="F88" t="s">
        <v>55</v>
      </c>
      <c r="G88">
        <v>5</v>
      </c>
      <c r="H88">
        <v>643.03</v>
      </c>
      <c r="I88" t="s">
        <v>386</v>
      </c>
      <c r="J88" t="s">
        <v>32</v>
      </c>
      <c r="K88" t="s">
        <v>40</v>
      </c>
      <c r="L88" t="s">
        <v>387</v>
      </c>
      <c r="M88">
        <v>5</v>
      </c>
      <c r="N88" t="s">
        <v>42</v>
      </c>
      <c r="O88" t="s">
        <v>34</v>
      </c>
      <c r="P88">
        <v>3215.15</v>
      </c>
      <c r="Q88">
        <v>3215.15</v>
      </c>
      <c r="R88" t="str">
        <f>IF(OR(P88&lt;Outliers!$B$5, P88&gt;Outliers!$B$6), "outliers", "")</f>
        <v/>
      </c>
    </row>
    <row r="89" spans="1:18" x14ac:dyDescent="0.25">
      <c r="A89" t="s">
        <v>388</v>
      </c>
      <c r="B89" s="1">
        <v>45575</v>
      </c>
      <c r="C89">
        <v>2024</v>
      </c>
      <c r="D89" t="s">
        <v>45</v>
      </c>
      <c r="E89" t="s">
        <v>389</v>
      </c>
      <c r="F89" t="s">
        <v>37</v>
      </c>
      <c r="G89">
        <v>3</v>
      </c>
      <c r="H89">
        <v>225.11</v>
      </c>
      <c r="I89" t="s">
        <v>390</v>
      </c>
      <c r="J89" t="s">
        <v>72</v>
      </c>
      <c r="K89" t="s">
        <v>23</v>
      </c>
      <c r="L89" t="s">
        <v>391</v>
      </c>
      <c r="M89">
        <v>4</v>
      </c>
      <c r="N89" t="s">
        <v>25</v>
      </c>
      <c r="O89" t="s">
        <v>51</v>
      </c>
      <c r="P89">
        <v>675.33</v>
      </c>
      <c r="Q89">
        <v>675.33</v>
      </c>
      <c r="R89" t="str">
        <f>IF(OR(P89&lt;Outliers!$B$5, P89&gt;Outliers!$B$6), "outliers", "")</f>
        <v/>
      </c>
    </row>
    <row r="90" spans="1:18" x14ac:dyDescent="0.25">
      <c r="A90" t="s">
        <v>392</v>
      </c>
      <c r="B90" s="1">
        <v>45813</v>
      </c>
      <c r="C90">
        <v>2025</v>
      </c>
      <c r="D90" t="s">
        <v>53</v>
      </c>
      <c r="E90" t="s">
        <v>393</v>
      </c>
      <c r="F90" t="s">
        <v>80</v>
      </c>
      <c r="G90">
        <v>3</v>
      </c>
      <c r="H90">
        <v>114.81</v>
      </c>
      <c r="I90" t="s">
        <v>394</v>
      </c>
      <c r="J90" t="s">
        <v>67</v>
      </c>
      <c r="K90" t="s">
        <v>40</v>
      </c>
      <c r="L90" t="s">
        <v>395</v>
      </c>
      <c r="M90">
        <v>7</v>
      </c>
      <c r="O90" t="s">
        <v>83</v>
      </c>
      <c r="P90">
        <v>344.43</v>
      </c>
      <c r="Q90">
        <v>344.43</v>
      </c>
      <c r="R90" t="str">
        <f>IF(OR(P90&lt;Outliers!$B$5, P90&gt;Outliers!$B$6), "outliers", "")</f>
        <v/>
      </c>
    </row>
    <row r="91" spans="1:18" x14ac:dyDescent="0.25">
      <c r="A91" t="s">
        <v>396</v>
      </c>
      <c r="B91" s="1">
        <v>45713</v>
      </c>
      <c r="C91">
        <v>2025</v>
      </c>
      <c r="D91" t="s">
        <v>18</v>
      </c>
      <c r="E91" t="s">
        <v>397</v>
      </c>
      <c r="F91" t="s">
        <v>55</v>
      </c>
      <c r="G91">
        <v>5</v>
      </c>
      <c r="H91">
        <v>455.33</v>
      </c>
      <c r="I91" t="s">
        <v>398</v>
      </c>
      <c r="J91" t="s">
        <v>39</v>
      </c>
      <c r="K91" t="s">
        <v>40</v>
      </c>
      <c r="L91" t="s">
        <v>399</v>
      </c>
      <c r="M91">
        <v>8</v>
      </c>
      <c r="N91" t="s">
        <v>42</v>
      </c>
      <c r="O91" t="s">
        <v>83</v>
      </c>
      <c r="P91">
        <v>2276.65</v>
      </c>
      <c r="Q91">
        <v>2276.65</v>
      </c>
      <c r="R91" t="str">
        <f>IF(OR(P91&lt;Outliers!$B$5, P91&gt;Outliers!$B$6), "outliers", "")</f>
        <v/>
      </c>
    </row>
    <row r="92" spans="1:18" x14ac:dyDescent="0.25">
      <c r="A92" t="s">
        <v>400</v>
      </c>
      <c r="B92" s="1">
        <v>45187</v>
      </c>
      <c r="C92">
        <v>2023</v>
      </c>
      <c r="D92" t="s">
        <v>28</v>
      </c>
      <c r="E92" t="s">
        <v>401</v>
      </c>
      <c r="F92" t="s">
        <v>47</v>
      </c>
      <c r="G92">
        <v>4</v>
      </c>
      <c r="H92">
        <v>182.08</v>
      </c>
      <c r="I92" t="s">
        <v>402</v>
      </c>
      <c r="J92" t="s">
        <v>67</v>
      </c>
      <c r="K92" t="s">
        <v>57</v>
      </c>
      <c r="L92" t="s">
        <v>403</v>
      </c>
      <c r="M92">
        <v>4</v>
      </c>
      <c r="N92" t="s">
        <v>25</v>
      </c>
      <c r="O92" t="s">
        <v>43</v>
      </c>
      <c r="P92">
        <v>728.32</v>
      </c>
      <c r="Q92">
        <v>728.32</v>
      </c>
      <c r="R92" t="str">
        <f>IF(OR(P92&lt;Outliers!$B$5, P92&gt;Outliers!$B$6), "outliers", "")</f>
        <v/>
      </c>
    </row>
    <row r="93" spans="1:18" x14ac:dyDescent="0.25">
      <c r="A93" t="s">
        <v>404</v>
      </c>
      <c r="B93" s="1">
        <v>45000</v>
      </c>
      <c r="C93">
        <v>2023</v>
      </c>
      <c r="D93" t="s">
        <v>18</v>
      </c>
      <c r="E93" t="s">
        <v>405</v>
      </c>
      <c r="F93" t="s">
        <v>65</v>
      </c>
      <c r="G93">
        <v>5</v>
      </c>
      <c r="H93">
        <v>492.75</v>
      </c>
      <c r="I93" t="s">
        <v>406</v>
      </c>
      <c r="J93" t="s">
        <v>72</v>
      </c>
      <c r="K93" t="s">
        <v>23</v>
      </c>
      <c r="L93" t="s">
        <v>407</v>
      </c>
      <c r="M93">
        <v>6</v>
      </c>
      <c r="N93" t="s">
        <v>88</v>
      </c>
      <c r="O93" t="s">
        <v>34</v>
      </c>
      <c r="P93">
        <v>2463.75</v>
      </c>
      <c r="Q93">
        <v>2463.75</v>
      </c>
      <c r="R93" t="str">
        <f>IF(OR(P93&lt;Outliers!$B$5, P93&gt;Outliers!$B$6), "outliers", "")</f>
        <v/>
      </c>
    </row>
    <row r="94" spans="1:18" x14ac:dyDescent="0.25">
      <c r="A94" t="s">
        <v>408</v>
      </c>
      <c r="B94" s="1">
        <v>45453</v>
      </c>
      <c r="C94">
        <v>2024</v>
      </c>
      <c r="D94" t="s">
        <v>53</v>
      </c>
      <c r="E94" t="s">
        <v>409</v>
      </c>
      <c r="F94" t="s">
        <v>55</v>
      </c>
      <c r="G94">
        <v>4</v>
      </c>
      <c r="H94">
        <v>48.61</v>
      </c>
      <c r="I94" t="s">
        <v>410</v>
      </c>
      <c r="J94" t="s">
        <v>32</v>
      </c>
      <c r="K94" t="s">
        <v>23</v>
      </c>
      <c r="L94" t="s">
        <v>411</v>
      </c>
      <c r="M94">
        <v>7</v>
      </c>
      <c r="N94" t="s">
        <v>42</v>
      </c>
      <c r="O94" t="s">
        <v>51</v>
      </c>
      <c r="P94">
        <v>194.44</v>
      </c>
      <c r="Q94">
        <v>194.44</v>
      </c>
      <c r="R94" t="str">
        <f>IF(OR(P94&lt;Outliers!$B$5, P94&gt;Outliers!$B$6), "outliers", "")</f>
        <v/>
      </c>
    </row>
    <row r="95" spans="1:18" x14ac:dyDescent="0.25">
      <c r="A95" t="s">
        <v>412</v>
      </c>
      <c r="B95" s="1">
        <v>44940</v>
      </c>
      <c r="C95">
        <v>2023</v>
      </c>
      <c r="D95" t="s">
        <v>18</v>
      </c>
      <c r="E95" t="s">
        <v>413</v>
      </c>
      <c r="F95" t="s">
        <v>80</v>
      </c>
      <c r="G95">
        <v>4</v>
      </c>
      <c r="H95">
        <v>431.01</v>
      </c>
      <c r="I95" t="s">
        <v>414</v>
      </c>
      <c r="J95" t="s">
        <v>39</v>
      </c>
      <c r="K95" t="s">
        <v>49</v>
      </c>
      <c r="L95" t="s">
        <v>415</v>
      </c>
      <c r="M95">
        <v>7</v>
      </c>
      <c r="O95" t="s">
        <v>34</v>
      </c>
      <c r="P95">
        <v>1724.04</v>
      </c>
      <c r="Q95">
        <v>1724.04</v>
      </c>
      <c r="R95" t="str">
        <f>IF(OR(P95&lt;Outliers!$B$5, P95&gt;Outliers!$B$6), "outliers", "")</f>
        <v/>
      </c>
    </row>
    <row r="96" spans="1:18" x14ac:dyDescent="0.25">
      <c r="A96" t="s">
        <v>416</v>
      </c>
      <c r="B96" s="1">
        <v>44968</v>
      </c>
      <c r="C96">
        <v>2023</v>
      </c>
      <c r="D96" t="s">
        <v>18</v>
      </c>
      <c r="E96" t="s">
        <v>417</v>
      </c>
      <c r="F96" t="s">
        <v>47</v>
      </c>
      <c r="G96">
        <v>1</v>
      </c>
      <c r="H96">
        <v>531.17999999999995</v>
      </c>
      <c r="I96" t="s">
        <v>418</v>
      </c>
      <c r="J96" t="s">
        <v>67</v>
      </c>
      <c r="K96" t="s">
        <v>49</v>
      </c>
      <c r="L96" t="s">
        <v>419</v>
      </c>
      <c r="M96">
        <v>6</v>
      </c>
      <c r="N96" t="s">
        <v>88</v>
      </c>
      <c r="O96" t="s">
        <v>26</v>
      </c>
      <c r="P96">
        <v>531.17999999999995</v>
      </c>
      <c r="Q96">
        <v>531.17999999999995</v>
      </c>
      <c r="R96" t="str">
        <f>IF(OR(P96&lt;Outliers!$B$5, P96&gt;Outliers!$B$6), "outliers", "")</f>
        <v/>
      </c>
    </row>
    <row r="97" spans="1:18" x14ac:dyDescent="0.25">
      <c r="A97" t="s">
        <v>420</v>
      </c>
      <c r="B97" s="1">
        <v>45009</v>
      </c>
      <c r="C97">
        <v>2023</v>
      </c>
      <c r="D97" t="s">
        <v>18</v>
      </c>
      <c r="E97" t="s">
        <v>421</v>
      </c>
      <c r="F97" t="s">
        <v>55</v>
      </c>
      <c r="G97">
        <v>4</v>
      </c>
      <c r="H97">
        <v>117.51</v>
      </c>
      <c r="I97" t="s">
        <v>422</v>
      </c>
      <c r="J97" t="s">
        <v>22</v>
      </c>
      <c r="K97" t="s">
        <v>49</v>
      </c>
      <c r="L97" t="s">
        <v>423</v>
      </c>
      <c r="M97">
        <v>7</v>
      </c>
      <c r="O97" t="s">
        <v>34</v>
      </c>
      <c r="P97">
        <v>470.04</v>
      </c>
      <c r="Q97">
        <v>470.04</v>
      </c>
      <c r="R97" t="str">
        <f>IF(OR(P97&lt;Outliers!$B$5, P97&gt;Outliers!$B$6), "outliers", "")</f>
        <v/>
      </c>
    </row>
    <row r="98" spans="1:18" x14ac:dyDescent="0.25">
      <c r="A98" t="s">
        <v>424</v>
      </c>
      <c r="B98" s="1">
        <v>45444</v>
      </c>
      <c r="C98">
        <v>2024</v>
      </c>
      <c r="D98" t="s">
        <v>53</v>
      </c>
      <c r="E98" t="s">
        <v>425</v>
      </c>
      <c r="F98" t="s">
        <v>30</v>
      </c>
      <c r="G98">
        <v>2</v>
      </c>
      <c r="H98">
        <v>232.83</v>
      </c>
      <c r="I98" t="s">
        <v>358</v>
      </c>
      <c r="J98" t="s">
        <v>67</v>
      </c>
      <c r="K98" t="s">
        <v>57</v>
      </c>
      <c r="L98" t="s">
        <v>426</v>
      </c>
      <c r="M98">
        <v>7</v>
      </c>
      <c r="O98" t="s">
        <v>26</v>
      </c>
      <c r="P98">
        <v>465.66</v>
      </c>
      <c r="Q98">
        <v>465.66</v>
      </c>
      <c r="R98" t="str">
        <f>IF(OR(P98&lt;Outliers!$B$5, P98&gt;Outliers!$B$6), "outliers", "")</f>
        <v/>
      </c>
    </row>
    <row r="99" spans="1:18" x14ac:dyDescent="0.25">
      <c r="A99" t="s">
        <v>427</v>
      </c>
      <c r="B99" s="1">
        <v>45678</v>
      </c>
      <c r="C99">
        <v>2025</v>
      </c>
      <c r="D99" t="s">
        <v>18</v>
      </c>
      <c r="E99" t="s">
        <v>428</v>
      </c>
      <c r="F99" t="s">
        <v>37</v>
      </c>
      <c r="G99">
        <v>5</v>
      </c>
      <c r="H99">
        <v>619.52</v>
      </c>
      <c r="I99" t="s">
        <v>429</v>
      </c>
      <c r="J99" t="s">
        <v>22</v>
      </c>
      <c r="K99" t="s">
        <v>96</v>
      </c>
      <c r="L99" t="s">
        <v>430</v>
      </c>
      <c r="M99">
        <v>9</v>
      </c>
      <c r="O99" t="s">
        <v>43</v>
      </c>
      <c r="P99">
        <v>3097.6</v>
      </c>
      <c r="Q99">
        <v>3097.6</v>
      </c>
      <c r="R99" t="str">
        <f>IF(OR(P99&lt;Outliers!$B$5, P99&gt;Outliers!$B$6), "outliers", "")</f>
        <v/>
      </c>
    </row>
    <row r="100" spans="1:18" x14ac:dyDescent="0.25">
      <c r="A100" t="s">
        <v>431</v>
      </c>
      <c r="B100" s="1">
        <v>44940</v>
      </c>
      <c r="C100">
        <v>2023</v>
      </c>
      <c r="D100" t="s">
        <v>18</v>
      </c>
      <c r="E100" t="s">
        <v>432</v>
      </c>
      <c r="F100" t="s">
        <v>55</v>
      </c>
      <c r="G100">
        <v>2</v>
      </c>
      <c r="H100">
        <v>228.54</v>
      </c>
      <c r="I100" t="s">
        <v>433</v>
      </c>
      <c r="J100" t="s">
        <v>22</v>
      </c>
      <c r="K100" t="s">
        <v>96</v>
      </c>
      <c r="L100" t="s">
        <v>434</v>
      </c>
      <c r="M100">
        <v>3</v>
      </c>
      <c r="O100" t="s">
        <v>43</v>
      </c>
      <c r="P100">
        <v>457.08</v>
      </c>
      <c r="Q100">
        <v>457.08</v>
      </c>
      <c r="R100" t="str">
        <f>IF(OR(P100&lt;Outliers!$B$5, P100&gt;Outliers!$B$6), "outliers", "")</f>
        <v/>
      </c>
    </row>
    <row r="101" spans="1:18" x14ac:dyDescent="0.25">
      <c r="A101" t="s">
        <v>435</v>
      </c>
      <c r="B101" s="1">
        <v>45759</v>
      </c>
      <c r="C101">
        <v>2025</v>
      </c>
      <c r="D101" t="s">
        <v>53</v>
      </c>
      <c r="E101" t="s">
        <v>436</v>
      </c>
      <c r="F101" t="s">
        <v>55</v>
      </c>
      <c r="G101">
        <v>1</v>
      </c>
      <c r="H101">
        <v>201.58</v>
      </c>
      <c r="I101" t="s">
        <v>437</v>
      </c>
      <c r="J101" t="s">
        <v>22</v>
      </c>
      <c r="K101" t="s">
        <v>40</v>
      </c>
      <c r="L101" t="s">
        <v>438</v>
      </c>
      <c r="M101">
        <v>2</v>
      </c>
      <c r="N101" t="s">
        <v>88</v>
      </c>
      <c r="O101" t="s">
        <v>43</v>
      </c>
      <c r="P101">
        <v>201.58</v>
      </c>
      <c r="Q101">
        <v>201.58</v>
      </c>
      <c r="R101" t="str">
        <f>IF(OR(P101&lt;Outliers!$B$5, P101&gt;Outliers!$B$6), "outliers", "")</f>
        <v/>
      </c>
    </row>
    <row r="102" spans="1:18" x14ac:dyDescent="0.25">
      <c r="A102" t="s">
        <v>439</v>
      </c>
      <c r="B102" s="1">
        <v>44974</v>
      </c>
      <c r="C102">
        <v>2023</v>
      </c>
      <c r="D102" t="s">
        <v>18</v>
      </c>
      <c r="E102" t="s">
        <v>440</v>
      </c>
      <c r="F102" t="s">
        <v>30</v>
      </c>
      <c r="G102">
        <v>3</v>
      </c>
      <c r="H102">
        <v>664.79</v>
      </c>
      <c r="I102" t="s">
        <v>441</v>
      </c>
      <c r="J102" t="s">
        <v>32</v>
      </c>
      <c r="K102" t="s">
        <v>57</v>
      </c>
      <c r="L102" t="s">
        <v>442</v>
      </c>
      <c r="M102">
        <v>6</v>
      </c>
      <c r="O102" t="s">
        <v>51</v>
      </c>
      <c r="P102">
        <v>1994.37</v>
      </c>
      <c r="Q102">
        <v>1994.37</v>
      </c>
      <c r="R102" t="str">
        <f>IF(OR(P102&lt;Outliers!$B$5, P102&gt;Outliers!$B$6), "outliers", "")</f>
        <v/>
      </c>
    </row>
    <row r="103" spans="1:18" x14ac:dyDescent="0.25">
      <c r="A103" t="s">
        <v>443</v>
      </c>
      <c r="B103" s="1">
        <v>45255</v>
      </c>
      <c r="C103">
        <v>2023</v>
      </c>
      <c r="D103" t="s">
        <v>45</v>
      </c>
      <c r="E103" t="s">
        <v>444</v>
      </c>
      <c r="F103" t="s">
        <v>55</v>
      </c>
      <c r="G103">
        <v>1</v>
      </c>
      <c r="H103">
        <v>381.02</v>
      </c>
      <c r="I103" t="s">
        <v>445</v>
      </c>
      <c r="J103" t="s">
        <v>72</v>
      </c>
      <c r="K103" t="s">
        <v>23</v>
      </c>
      <c r="L103" t="s">
        <v>446</v>
      </c>
      <c r="M103">
        <v>6</v>
      </c>
      <c r="O103" t="s">
        <v>83</v>
      </c>
      <c r="P103">
        <v>381.02</v>
      </c>
      <c r="Q103">
        <v>381.02</v>
      </c>
      <c r="R103" t="str">
        <f>IF(OR(P103&lt;Outliers!$B$5, P103&gt;Outliers!$B$6), "outliers", "")</f>
        <v/>
      </c>
    </row>
    <row r="104" spans="1:18" x14ac:dyDescent="0.25">
      <c r="A104" t="s">
        <v>447</v>
      </c>
      <c r="B104" s="1">
        <v>44993</v>
      </c>
      <c r="C104">
        <v>2023</v>
      </c>
      <c r="D104" t="s">
        <v>18</v>
      </c>
      <c r="E104" t="s">
        <v>448</v>
      </c>
      <c r="F104" t="s">
        <v>65</v>
      </c>
      <c r="G104">
        <v>2</v>
      </c>
      <c r="H104">
        <v>70.34</v>
      </c>
      <c r="I104" t="s">
        <v>449</v>
      </c>
      <c r="J104" t="s">
        <v>67</v>
      </c>
      <c r="K104" t="s">
        <v>40</v>
      </c>
      <c r="L104" t="s">
        <v>450</v>
      </c>
      <c r="M104">
        <v>3</v>
      </c>
      <c r="N104" t="s">
        <v>42</v>
      </c>
      <c r="O104" t="s">
        <v>43</v>
      </c>
      <c r="P104">
        <v>140.68</v>
      </c>
      <c r="Q104">
        <v>140.68</v>
      </c>
      <c r="R104" t="str">
        <f>IF(OR(P104&lt;Outliers!$B$5, P104&gt;Outliers!$B$6), "outliers", "")</f>
        <v/>
      </c>
    </row>
    <row r="105" spans="1:18" x14ac:dyDescent="0.25">
      <c r="A105" t="s">
        <v>451</v>
      </c>
      <c r="B105" s="1">
        <v>45682</v>
      </c>
      <c r="C105">
        <v>2025</v>
      </c>
      <c r="D105" t="s">
        <v>18</v>
      </c>
      <c r="E105" t="s">
        <v>452</v>
      </c>
      <c r="F105" t="s">
        <v>30</v>
      </c>
      <c r="G105">
        <v>4</v>
      </c>
      <c r="H105">
        <v>218.43</v>
      </c>
      <c r="I105" t="s">
        <v>453</v>
      </c>
      <c r="J105" t="s">
        <v>39</v>
      </c>
      <c r="K105" t="s">
        <v>40</v>
      </c>
      <c r="L105" t="s">
        <v>454</v>
      </c>
      <c r="M105">
        <v>9</v>
      </c>
      <c r="N105" t="s">
        <v>25</v>
      </c>
      <c r="O105" t="s">
        <v>43</v>
      </c>
      <c r="P105">
        <v>873.72</v>
      </c>
      <c r="Q105">
        <v>873.72</v>
      </c>
      <c r="R105" t="str">
        <f>IF(OR(P105&lt;Outliers!$B$5, P105&gt;Outliers!$B$6), "outliers", "")</f>
        <v/>
      </c>
    </row>
    <row r="106" spans="1:18" x14ac:dyDescent="0.25">
      <c r="A106" t="s">
        <v>455</v>
      </c>
      <c r="B106" s="1">
        <v>45503</v>
      </c>
      <c r="C106">
        <v>2024</v>
      </c>
      <c r="D106" t="s">
        <v>28</v>
      </c>
      <c r="E106" t="s">
        <v>456</v>
      </c>
      <c r="F106" t="s">
        <v>30</v>
      </c>
      <c r="G106">
        <v>1</v>
      </c>
      <c r="H106">
        <v>582.04</v>
      </c>
      <c r="I106" t="s">
        <v>457</v>
      </c>
      <c r="J106" t="s">
        <v>67</v>
      </c>
      <c r="K106" t="s">
        <v>57</v>
      </c>
      <c r="L106" t="s">
        <v>458</v>
      </c>
      <c r="M106">
        <v>1</v>
      </c>
      <c r="N106" t="s">
        <v>42</v>
      </c>
      <c r="O106" t="s">
        <v>43</v>
      </c>
      <c r="P106">
        <v>582.04</v>
      </c>
      <c r="Q106">
        <v>582.04</v>
      </c>
      <c r="R106" t="str">
        <f>IF(OR(P106&lt;Outliers!$B$5, P106&gt;Outliers!$B$6), "outliers", "")</f>
        <v/>
      </c>
    </row>
    <row r="107" spans="1:18" x14ac:dyDescent="0.25">
      <c r="A107" t="s">
        <v>459</v>
      </c>
      <c r="B107" s="1">
        <v>45589</v>
      </c>
      <c r="C107">
        <v>2024</v>
      </c>
      <c r="D107" t="s">
        <v>45</v>
      </c>
      <c r="E107" t="s">
        <v>460</v>
      </c>
      <c r="F107" t="s">
        <v>55</v>
      </c>
      <c r="G107">
        <v>3</v>
      </c>
      <c r="H107">
        <v>185.4</v>
      </c>
      <c r="I107" t="s">
        <v>461</v>
      </c>
      <c r="J107" t="s">
        <v>67</v>
      </c>
      <c r="K107" t="s">
        <v>40</v>
      </c>
      <c r="L107" t="s">
        <v>462</v>
      </c>
      <c r="M107">
        <v>7</v>
      </c>
      <c r="O107" t="s">
        <v>51</v>
      </c>
      <c r="P107">
        <v>556.20000000000005</v>
      </c>
      <c r="Q107">
        <v>556.20000000000005</v>
      </c>
      <c r="R107" t="str">
        <f>IF(OR(P107&lt;Outliers!$B$5, P107&gt;Outliers!$B$6), "outliers", "")</f>
        <v/>
      </c>
    </row>
    <row r="108" spans="1:18" x14ac:dyDescent="0.25">
      <c r="A108" t="s">
        <v>463</v>
      </c>
      <c r="B108" s="1">
        <v>45177</v>
      </c>
      <c r="C108">
        <v>2023</v>
      </c>
      <c r="D108" t="s">
        <v>28</v>
      </c>
      <c r="E108" t="s">
        <v>464</v>
      </c>
      <c r="F108" t="s">
        <v>80</v>
      </c>
      <c r="G108">
        <v>3</v>
      </c>
      <c r="H108">
        <v>465.05</v>
      </c>
      <c r="I108" t="s">
        <v>465</v>
      </c>
      <c r="J108" t="s">
        <v>39</v>
      </c>
      <c r="K108" t="s">
        <v>40</v>
      </c>
      <c r="L108" t="s">
        <v>466</v>
      </c>
      <c r="M108">
        <v>3</v>
      </c>
      <c r="N108" t="s">
        <v>25</v>
      </c>
      <c r="O108" t="s">
        <v>43</v>
      </c>
      <c r="P108">
        <v>1395.15</v>
      </c>
      <c r="Q108">
        <v>1395.15</v>
      </c>
      <c r="R108" t="str">
        <f>IF(OR(P108&lt;Outliers!$B$5, P108&gt;Outliers!$B$6), "outliers", "")</f>
        <v/>
      </c>
    </row>
    <row r="109" spans="1:18" x14ac:dyDescent="0.25">
      <c r="A109" t="s">
        <v>467</v>
      </c>
      <c r="B109" s="1">
        <v>45012</v>
      </c>
      <c r="C109">
        <v>2023</v>
      </c>
      <c r="D109" t="s">
        <v>18</v>
      </c>
      <c r="E109" t="s">
        <v>468</v>
      </c>
      <c r="F109" t="s">
        <v>55</v>
      </c>
      <c r="G109">
        <v>5</v>
      </c>
      <c r="H109">
        <v>670.75</v>
      </c>
      <c r="I109" t="s">
        <v>469</v>
      </c>
      <c r="J109" t="s">
        <v>67</v>
      </c>
      <c r="K109" t="s">
        <v>23</v>
      </c>
      <c r="L109" t="s">
        <v>470</v>
      </c>
      <c r="M109">
        <v>8</v>
      </c>
      <c r="N109" t="s">
        <v>42</v>
      </c>
      <c r="O109" t="s">
        <v>26</v>
      </c>
      <c r="P109">
        <v>3353.75</v>
      </c>
      <c r="Q109">
        <v>3353.75</v>
      </c>
      <c r="R109" t="str">
        <f>IF(OR(P109&lt;Outliers!$B$5, P109&gt;Outliers!$B$6), "outliers", "")</f>
        <v>outliers</v>
      </c>
    </row>
    <row r="110" spans="1:18" x14ac:dyDescent="0.25">
      <c r="A110" t="s">
        <v>471</v>
      </c>
      <c r="B110" s="1">
        <v>45654</v>
      </c>
      <c r="C110">
        <v>2024</v>
      </c>
      <c r="D110" t="s">
        <v>45</v>
      </c>
      <c r="E110" t="s">
        <v>472</v>
      </c>
      <c r="F110" t="s">
        <v>65</v>
      </c>
      <c r="G110">
        <v>5</v>
      </c>
      <c r="H110">
        <v>48.38</v>
      </c>
      <c r="I110" t="s">
        <v>473</v>
      </c>
      <c r="J110" t="s">
        <v>67</v>
      </c>
      <c r="K110" t="s">
        <v>57</v>
      </c>
      <c r="L110" t="s">
        <v>474</v>
      </c>
      <c r="M110">
        <v>9</v>
      </c>
      <c r="N110" t="s">
        <v>88</v>
      </c>
      <c r="O110" t="s">
        <v>43</v>
      </c>
      <c r="P110">
        <v>241.9</v>
      </c>
      <c r="Q110">
        <v>241.9</v>
      </c>
      <c r="R110" t="str">
        <f>IF(OR(P110&lt;Outliers!$B$5, P110&gt;Outliers!$B$6), "outliers", "")</f>
        <v/>
      </c>
    </row>
    <row r="111" spans="1:18" x14ac:dyDescent="0.25">
      <c r="A111" t="s">
        <v>475</v>
      </c>
      <c r="B111" s="1">
        <v>45186</v>
      </c>
      <c r="C111">
        <v>2023</v>
      </c>
      <c r="D111" t="s">
        <v>28</v>
      </c>
      <c r="E111" t="s">
        <v>476</v>
      </c>
      <c r="F111" t="s">
        <v>80</v>
      </c>
      <c r="G111">
        <v>3</v>
      </c>
      <c r="H111">
        <v>592.87</v>
      </c>
      <c r="I111" t="s">
        <v>477</v>
      </c>
      <c r="J111" t="s">
        <v>67</v>
      </c>
      <c r="K111" t="s">
        <v>23</v>
      </c>
      <c r="L111" t="s">
        <v>478</v>
      </c>
      <c r="M111">
        <v>3</v>
      </c>
      <c r="N111" t="s">
        <v>42</v>
      </c>
      <c r="O111" t="s">
        <v>34</v>
      </c>
      <c r="P111">
        <v>1778.61</v>
      </c>
      <c r="Q111">
        <v>1778.61</v>
      </c>
      <c r="R111" t="str">
        <f>IF(OR(P111&lt;Outliers!$B$5, P111&gt;Outliers!$B$6), "outliers", "")</f>
        <v/>
      </c>
    </row>
    <row r="112" spans="1:18" x14ac:dyDescent="0.25">
      <c r="A112" t="s">
        <v>479</v>
      </c>
      <c r="B112" s="1">
        <v>45403</v>
      </c>
      <c r="C112">
        <v>2024</v>
      </c>
      <c r="D112" t="s">
        <v>53</v>
      </c>
      <c r="E112" t="s">
        <v>480</v>
      </c>
      <c r="F112" t="s">
        <v>37</v>
      </c>
      <c r="G112">
        <v>1</v>
      </c>
      <c r="H112">
        <v>220.77</v>
      </c>
      <c r="I112" t="s">
        <v>481</v>
      </c>
      <c r="J112" t="s">
        <v>67</v>
      </c>
      <c r="K112" t="s">
        <v>96</v>
      </c>
      <c r="L112" t="s">
        <v>482</v>
      </c>
      <c r="M112">
        <v>5</v>
      </c>
      <c r="N112" t="s">
        <v>42</v>
      </c>
      <c r="O112" t="s">
        <v>26</v>
      </c>
      <c r="P112">
        <v>220.77</v>
      </c>
      <c r="Q112">
        <v>220.77</v>
      </c>
      <c r="R112" t="str">
        <f>IF(OR(P112&lt;Outliers!$B$5, P112&gt;Outliers!$B$6), "outliers", "")</f>
        <v/>
      </c>
    </row>
    <row r="113" spans="1:18" x14ac:dyDescent="0.25">
      <c r="A113" t="s">
        <v>483</v>
      </c>
      <c r="B113" s="1">
        <v>45784</v>
      </c>
      <c r="C113">
        <v>2025</v>
      </c>
      <c r="D113" t="s">
        <v>53</v>
      </c>
      <c r="E113" t="s">
        <v>484</v>
      </c>
      <c r="F113" t="s">
        <v>80</v>
      </c>
      <c r="G113">
        <v>3</v>
      </c>
      <c r="H113">
        <v>309.22000000000003</v>
      </c>
      <c r="I113" t="s">
        <v>485</v>
      </c>
      <c r="J113" t="s">
        <v>32</v>
      </c>
      <c r="K113" t="s">
        <v>40</v>
      </c>
      <c r="L113" t="s">
        <v>486</v>
      </c>
      <c r="M113">
        <v>7</v>
      </c>
      <c r="N113" t="s">
        <v>42</v>
      </c>
      <c r="O113" t="s">
        <v>83</v>
      </c>
      <c r="P113">
        <v>927.66</v>
      </c>
      <c r="Q113">
        <v>927.66</v>
      </c>
      <c r="R113" t="str">
        <f>IF(OR(P113&lt;Outliers!$B$5, P113&gt;Outliers!$B$6), "outliers", "")</f>
        <v/>
      </c>
    </row>
    <row r="114" spans="1:18" x14ac:dyDescent="0.25">
      <c r="A114" t="s">
        <v>487</v>
      </c>
      <c r="B114" s="1">
        <v>44927</v>
      </c>
      <c r="C114">
        <v>2023</v>
      </c>
      <c r="D114" t="s">
        <v>18</v>
      </c>
      <c r="E114" t="s">
        <v>488</v>
      </c>
      <c r="F114" t="s">
        <v>20</v>
      </c>
      <c r="G114">
        <v>1</v>
      </c>
      <c r="H114">
        <v>410.6</v>
      </c>
      <c r="I114" t="s">
        <v>489</v>
      </c>
      <c r="J114" t="s">
        <v>32</v>
      </c>
      <c r="K114" t="s">
        <v>40</v>
      </c>
      <c r="L114" t="s">
        <v>490</v>
      </c>
      <c r="M114">
        <v>2</v>
      </c>
      <c r="N114" t="s">
        <v>88</v>
      </c>
      <c r="O114" t="s">
        <v>34</v>
      </c>
      <c r="P114">
        <v>410.6</v>
      </c>
      <c r="Q114">
        <v>410.6</v>
      </c>
      <c r="R114" t="str">
        <f>IF(OR(P114&lt;Outliers!$B$5, P114&gt;Outliers!$B$6), "outliers", "")</f>
        <v/>
      </c>
    </row>
    <row r="115" spans="1:18" x14ac:dyDescent="0.25">
      <c r="A115" t="s">
        <v>491</v>
      </c>
      <c r="B115" s="1">
        <v>45308</v>
      </c>
      <c r="C115">
        <v>2024</v>
      </c>
      <c r="D115" t="s">
        <v>18</v>
      </c>
      <c r="E115" t="s">
        <v>492</v>
      </c>
      <c r="F115" t="s">
        <v>65</v>
      </c>
      <c r="G115">
        <v>5</v>
      </c>
      <c r="H115">
        <v>190.08</v>
      </c>
      <c r="I115" t="s">
        <v>493</v>
      </c>
      <c r="J115" t="s">
        <v>72</v>
      </c>
      <c r="K115" t="s">
        <v>23</v>
      </c>
      <c r="L115" t="s">
        <v>494</v>
      </c>
      <c r="M115">
        <v>9</v>
      </c>
      <c r="N115" t="s">
        <v>42</v>
      </c>
      <c r="O115" t="s">
        <v>26</v>
      </c>
      <c r="P115">
        <v>950.4</v>
      </c>
      <c r="Q115">
        <v>950.4</v>
      </c>
      <c r="R115" t="str">
        <f>IF(OR(P115&lt;Outliers!$B$5, P115&gt;Outliers!$B$6), "outliers", "")</f>
        <v/>
      </c>
    </row>
    <row r="116" spans="1:18" x14ac:dyDescent="0.25">
      <c r="A116" t="s">
        <v>495</v>
      </c>
      <c r="B116" s="1">
        <v>45684</v>
      </c>
      <c r="C116">
        <v>2025</v>
      </c>
      <c r="D116" t="s">
        <v>18</v>
      </c>
      <c r="E116" t="s">
        <v>496</v>
      </c>
      <c r="F116" t="s">
        <v>20</v>
      </c>
      <c r="G116">
        <v>5</v>
      </c>
      <c r="H116">
        <v>498.48</v>
      </c>
      <c r="I116" t="s">
        <v>497</v>
      </c>
      <c r="J116" t="s">
        <v>32</v>
      </c>
      <c r="K116" t="s">
        <v>96</v>
      </c>
      <c r="L116" t="s">
        <v>498</v>
      </c>
      <c r="M116">
        <v>8</v>
      </c>
      <c r="N116" t="s">
        <v>25</v>
      </c>
      <c r="O116" t="s">
        <v>83</v>
      </c>
      <c r="P116">
        <v>2492.4</v>
      </c>
      <c r="Q116">
        <v>2492.4</v>
      </c>
      <c r="R116" t="str">
        <f>IF(OR(P116&lt;Outliers!$B$5, P116&gt;Outliers!$B$6), "outliers", "")</f>
        <v/>
      </c>
    </row>
    <row r="117" spans="1:18" x14ac:dyDescent="0.25">
      <c r="A117" t="s">
        <v>499</v>
      </c>
      <c r="B117" s="1">
        <v>45257</v>
      </c>
      <c r="C117">
        <v>2023</v>
      </c>
      <c r="D117" t="s">
        <v>45</v>
      </c>
      <c r="E117" t="s">
        <v>500</v>
      </c>
      <c r="F117" t="s">
        <v>30</v>
      </c>
      <c r="G117">
        <v>5</v>
      </c>
      <c r="H117">
        <v>374.99</v>
      </c>
      <c r="I117" t="s">
        <v>501</v>
      </c>
      <c r="J117" t="s">
        <v>32</v>
      </c>
      <c r="K117" t="s">
        <v>23</v>
      </c>
      <c r="L117" t="s">
        <v>502</v>
      </c>
      <c r="M117">
        <v>9</v>
      </c>
      <c r="N117" t="s">
        <v>25</v>
      </c>
      <c r="O117" t="s">
        <v>51</v>
      </c>
      <c r="P117">
        <v>1874.95</v>
      </c>
      <c r="Q117">
        <v>1874.95</v>
      </c>
      <c r="R117" t="str">
        <f>IF(OR(P117&lt;Outliers!$B$5, P117&gt;Outliers!$B$6), "outliers", "")</f>
        <v/>
      </c>
    </row>
    <row r="118" spans="1:18" x14ac:dyDescent="0.25">
      <c r="A118" t="s">
        <v>503</v>
      </c>
      <c r="B118" s="1">
        <v>45004</v>
      </c>
      <c r="C118">
        <v>2023</v>
      </c>
      <c r="D118" t="s">
        <v>18</v>
      </c>
      <c r="E118" t="s">
        <v>504</v>
      </c>
      <c r="F118" t="s">
        <v>55</v>
      </c>
      <c r="G118">
        <v>4</v>
      </c>
      <c r="H118">
        <v>291.35000000000002</v>
      </c>
      <c r="I118" t="s">
        <v>505</v>
      </c>
      <c r="J118" t="s">
        <v>39</v>
      </c>
      <c r="K118" t="s">
        <v>40</v>
      </c>
      <c r="L118" t="s">
        <v>506</v>
      </c>
      <c r="M118">
        <v>6</v>
      </c>
      <c r="N118" t="s">
        <v>88</v>
      </c>
      <c r="O118" t="s">
        <v>51</v>
      </c>
      <c r="P118">
        <v>1165.4000000000001</v>
      </c>
      <c r="Q118">
        <v>1165.4000000000001</v>
      </c>
      <c r="R118" t="str">
        <f>IF(OR(P118&lt;Outliers!$B$5, P118&gt;Outliers!$B$6), "outliers", "")</f>
        <v/>
      </c>
    </row>
    <row r="119" spans="1:18" x14ac:dyDescent="0.25">
      <c r="A119" t="s">
        <v>507</v>
      </c>
      <c r="B119" s="1">
        <v>44993</v>
      </c>
      <c r="C119">
        <v>2023</v>
      </c>
      <c r="D119" t="s">
        <v>18</v>
      </c>
      <c r="E119" t="s">
        <v>508</v>
      </c>
      <c r="F119" t="s">
        <v>37</v>
      </c>
      <c r="G119">
        <v>1</v>
      </c>
      <c r="H119">
        <v>535.5</v>
      </c>
      <c r="I119" t="s">
        <v>509</v>
      </c>
      <c r="J119" t="s">
        <v>67</v>
      </c>
      <c r="K119" t="s">
        <v>40</v>
      </c>
      <c r="L119" t="s">
        <v>510</v>
      </c>
      <c r="M119">
        <v>5</v>
      </c>
      <c r="N119" t="s">
        <v>88</v>
      </c>
      <c r="O119" t="s">
        <v>34</v>
      </c>
      <c r="P119">
        <v>535.5</v>
      </c>
      <c r="Q119">
        <v>535.5</v>
      </c>
      <c r="R119" t="str">
        <f>IF(OR(P119&lt;Outliers!$B$5, P119&gt;Outliers!$B$6), "outliers", "")</f>
        <v/>
      </c>
    </row>
    <row r="120" spans="1:18" x14ac:dyDescent="0.25">
      <c r="A120" t="s">
        <v>511</v>
      </c>
      <c r="B120" s="1">
        <v>45208</v>
      </c>
      <c r="C120">
        <v>2023</v>
      </c>
      <c r="D120" t="s">
        <v>45</v>
      </c>
      <c r="E120" t="s">
        <v>512</v>
      </c>
      <c r="F120" t="s">
        <v>55</v>
      </c>
      <c r="G120">
        <v>5</v>
      </c>
      <c r="H120">
        <v>502.71</v>
      </c>
      <c r="I120" t="s">
        <v>513</v>
      </c>
      <c r="J120" t="s">
        <v>67</v>
      </c>
      <c r="K120" t="s">
        <v>23</v>
      </c>
      <c r="L120" t="s">
        <v>514</v>
      </c>
      <c r="M120">
        <v>7</v>
      </c>
      <c r="N120" t="s">
        <v>42</v>
      </c>
      <c r="O120" t="s">
        <v>83</v>
      </c>
      <c r="P120">
        <v>2513.5500000000002</v>
      </c>
      <c r="Q120">
        <v>2513.5500000000002</v>
      </c>
      <c r="R120" t="str">
        <f>IF(OR(P120&lt;Outliers!$B$5, P120&gt;Outliers!$B$6), "outliers", "")</f>
        <v/>
      </c>
    </row>
    <row r="121" spans="1:18" x14ac:dyDescent="0.25">
      <c r="A121" t="s">
        <v>515</v>
      </c>
      <c r="B121" s="1">
        <v>45819</v>
      </c>
      <c r="C121">
        <v>2025</v>
      </c>
      <c r="D121" t="s">
        <v>53</v>
      </c>
      <c r="E121" t="s">
        <v>516</v>
      </c>
      <c r="F121" t="s">
        <v>80</v>
      </c>
      <c r="G121">
        <v>2</v>
      </c>
      <c r="H121">
        <v>534.66999999999996</v>
      </c>
      <c r="I121" t="s">
        <v>517</v>
      </c>
      <c r="J121" t="s">
        <v>22</v>
      </c>
      <c r="K121" t="s">
        <v>23</v>
      </c>
      <c r="L121" t="s">
        <v>518</v>
      </c>
      <c r="M121">
        <v>7</v>
      </c>
      <c r="N121" t="s">
        <v>42</v>
      </c>
      <c r="O121" t="s">
        <v>34</v>
      </c>
      <c r="P121">
        <v>1069.3399999999999</v>
      </c>
      <c r="Q121">
        <v>1069.3399999999999</v>
      </c>
      <c r="R121" t="str">
        <f>IF(OR(P121&lt;Outliers!$B$5, P121&gt;Outliers!$B$6), "outliers", "")</f>
        <v/>
      </c>
    </row>
    <row r="122" spans="1:18" x14ac:dyDescent="0.25">
      <c r="A122" t="s">
        <v>519</v>
      </c>
      <c r="B122" s="1">
        <v>45027</v>
      </c>
      <c r="C122">
        <v>2023</v>
      </c>
      <c r="D122" t="s">
        <v>53</v>
      </c>
      <c r="E122" t="s">
        <v>520</v>
      </c>
      <c r="F122" t="s">
        <v>37</v>
      </c>
      <c r="G122">
        <v>4</v>
      </c>
      <c r="H122">
        <v>629.34</v>
      </c>
      <c r="I122" t="s">
        <v>66</v>
      </c>
      <c r="J122" t="s">
        <v>72</v>
      </c>
      <c r="K122" t="s">
        <v>40</v>
      </c>
      <c r="L122" t="s">
        <v>521</v>
      </c>
      <c r="M122">
        <v>4</v>
      </c>
      <c r="N122" t="s">
        <v>88</v>
      </c>
      <c r="O122" t="s">
        <v>26</v>
      </c>
      <c r="P122">
        <v>2517.36</v>
      </c>
      <c r="Q122">
        <v>2517.36</v>
      </c>
      <c r="R122" t="str">
        <f>IF(OR(P122&lt;Outliers!$B$5, P122&gt;Outliers!$B$6), "outliers", "")</f>
        <v/>
      </c>
    </row>
    <row r="123" spans="1:18" x14ac:dyDescent="0.25">
      <c r="A123" t="s">
        <v>522</v>
      </c>
      <c r="B123" s="1">
        <v>45260</v>
      </c>
      <c r="C123">
        <v>2023</v>
      </c>
      <c r="D123" t="s">
        <v>45</v>
      </c>
      <c r="E123" t="s">
        <v>523</v>
      </c>
      <c r="F123" t="s">
        <v>80</v>
      </c>
      <c r="G123">
        <v>1</v>
      </c>
      <c r="H123">
        <v>410.78</v>
      </c>
      <c r="I123" t="s">
        <v>524</v>
      </c>
      <c r="J123" t="s">
        <v>72</v>
      </c>
      <c r="K123" t="s">
        <v>40</v>
      </c>
      <c r="L123" t="s">
        <v>525</v>
      </c>
      <c r="M123">
        <v>1</v>
      </c>
      <c r="N123" t="s">
        <v>42</v>
      </c>
      <c r="O123" t="s">
        <v>26</v>
      </c>
      <c r="P123">
        <v>410.78</v>
      </c>
      <c r="Q123">
        <v>410.78</v>
      </c>
      <c r="R123" t="str">
        <f>IF(OR(P123&lt;Outliers!$B$5, P123&gt;Outliers!$B$6), "outliers", "")</f>
        <v/>
      </c>
    </row>
    <row r="124" spans="1:18" x14ac:dyDescent="0.25">
      <c r="A124" t="s">
        <v>526</v>
      </c>
      <c r="B124" s="1">
        <v>45397</v>
      </c>
      <c r="C124">
        <v>2024</v>
      </c>
      <c r="D124" t="s">
        <v>53</v>
      </c>
      <c r="E124" t="s">
        <v>527</v>
      </c>
      <c r="F124" t="s">
        <v>65</v>
      </c>
      <c r="G124">
        <v>2</v>
      </c>
      <c r="H124">
        <v>533.02</v>
      </c>
      <c r="I124" t="s">
        <v>528</v>
      </c>
      <c r="J124" t="s">
        <v>67</v>
      </c>
      <c r="K124" t="s">
        <v>23</v>
      </c>
      <c r="L124" t="s">
        <v>529</v>
      </c>
      <c r="M124">
        <v>2</v>
      </c>
      <c r="O124" t="s">
        <v>51</v>
      </c>
      <c r="P124">
        <v>1066.04</v>
      </c>
      <c r="Q124">
        <v>1066.04</v>
      </c>
      <c r="R124" t="str">
        <f>IF(OR(P124&lt;Outliers!$B$5, P124&gt;Outliers!$B$6), "outliers", "")</f>
        <v/>
      </c>
    </row>
    <row r="125" spans="1:18" x14ac:dyDescent="0.25">
      <c r="A125" t="s">
        <v>530</v>
      </c>
      <c r="B125" s="1">
        <v>45113</v>
      </c>
      <c r="C125">
        <v>2023</v>
      </c>
      <c r="D125" t="s">
        <v>28</v>
      </c>
      <c r="E125" t="s">
        <v>531</v>
      </c>
      <c r="F125" t="s">
        <v>80</v>
      </c>
      <c r="G125">
        <v>3</v>
      </c>
      <c r="H125">
        <v>278.04000000000002</v>
      </c>
      <c r="I125" t="s">
        <v>532</v>
      </c>
      <c r="J125" t="s">
        <v>32</v>
      </c>
      <c r="K125" t="s">
        <v>57</v>
      </c>
      <c r="L125" t="s">
        <v>533</v>
      </c>
      <c r="M125">
        <v>5</v>
      </c>
      <c r="O125" t="s">
        <v>26</v>
      </c>
      <c r="P125">
        <v>834.12</v>
      </c>
      <c r="Q125">
        <v>834.12</v>
      </c>
      <c r="R125" t="str">
        <f>IF(OR(P125&lt;Outliers!$B$5, P125&gt;Outliers!$B$6), "outliers", "")</f>
        <v/>
      </c>
    </row>
    <row r="126" spans="1:18" x14ac:dyDescent="0.25">
      <c r="A126" t="s">
        <v>534</v>
      </c>
      <c r="B126" s="1">
        <v>45501</v>
      </c>
      <c r="C126">
        <v>2024</v>
      </c>
      <c r="D126" t="s">
        <v>28</v>
      </c>
      <c r="E126" t="s">
        <v>535</v>
      </c>
      <c r="F126" t="s">
        <v>55</v>
      </c>
      <c r="G126">
        <v>4</v>
      </c>
      <c r="H126">
        <v>283.79000000000002</v>
      </c>
      <c r="I126" t="s">
        <v>536</v>
      </c>
      <c r="J126" t="s">
        <v>32</v>
      </c>
      <c r="K126" t="s">
        <v>96</v>
      </c>
      <c r="L126" t="s">
        <v>537</v>
      </c>
      <c r="M126">
        <v>8</v>
      </c>
      <c r="O126" t="s">
        <v>83</v>
      </c>
      <c r="P126">
        <v>1135.1600000000001</v>
      </c>
      <c r="Q126">
        <v>1135.1600000000001</v>
      </c>
      <c r="R126" t="str">
        <f>IF(OR(P126&lt;Outliers!$B$5, P126&gt;Outliers!$B$6), "outliers", "")</f>
        <v/>
      </c>
    </row>
    <row r="127" spans="1:18" x14ac:dyDescent="0.25">
      <c r="A127" t="s">
        <v>538</v>
      </c>
      <c r="B127" s="1">
        <v>45602</v>
      </c>
      <c r="C127">
        <v>2024</v>
      </c>
      <c r="D127" t="s">
        <v>45</v>
      </c>
      <c r="E127" t="s">
        <v>539</v>
      </c>
      <c r="F127" t="s">
        <v>30</v>
      </c>
      <c r="G127">
        <v>2</v>
      </c>
      <c r="H127">
        <v>512.65</v>
      </c>
      <c r="I127" t="s">
        <v>540</v>
      </c>
      <c r="J127" t="s">
        <v>39</v>
      </c>
      <c r="K127" t="s">
        <v>23</v>
      </c>
      <c r="L127" t="s">
        <v>541</v>
      </c>
      <c r="M127">
        <v>5</v>
      </c>
      <c r="N127" t="s">
        <v>25</v>
      </c>
      <c r="O127" t="s">
        <v>43</v>
      </c>
      <c r="P127">
        <v>1025.3</v>
      </c>
      <c r="Q127">
        <v>1025.3</v>
      </c>
      <c r="R127" t="str">
        <f>IF(OR(P127&lt;Outliers!$B$5, P127&gt;Outliers!$B$6), "outliers", "")</f>
        <v/>
      </c>
    </row>
    <row r="128" spans="1:18" x14ac:dyDescent="0.25">
      <c r="A128" t="s">
        <v>542</v>
      </c>
      <c r="B128" s="1">
        <v>45780</v>
      </c>
      <c r="C128">
        <v>2025</v>
      </c>
      <c r="D128" t="s">
        <v>53</v>
      </c>
      <c r="E128" t="s">
        <v>543</v>
      </c>
      <c r="F128" t="s">
        <v>80</v>
      </c>
      <c r="G128">
        <v>4</v>
      </c>
      <c r="H128">
        <v>275.5</v>
      </c>
      <c r="I128" t="s">
        <v>544</v>
      </c>
      <c r="J128" t="s">
        <v>67</v>
      </c>
      <c r="K128" t="s">
        <v>23</v>
      </c>
      <c r="L128" t="s">
        <v>545</v>
      </c>
      <c r="M128">
        <v>8</v>
      </c>
      <c r="N128" t="s">
        <v>42</v>
      </c>
      <c r="O128" t="s">
        <v>83</v>
      </c>
      <c r="P128">
        <v>1102</v>
      </c>
      <c r="Q128">
        <v>1102</v>
      </c>
      <c r="R128" t="str">
        <f>IF(OR(P128&lt;Outliers!$B$5, P128&gt;Outliers!$B$6), "outliers", "")</f>
        <v/>
      </c>
    </row>
    <row r="129" spans="1:18" x14ac:dyDescent="0.25">
      <c r="A129" t="s">
        <v>546</v>
      </c>
      <c r="B129" s="1">
        <v>45148</v>
      </c>
      <c r="C129">
        <v>2023</v>
      </c>
      <c r="D129" t="s">
        <v>28</v>
      </c>
      <c r="E129" t="s">
        <v>547</v>
      </c>
      <c r="F129" t="s">
        <v>80</v>
      </c>
      <c r="G129">
        <v>3</v>
      </c>
      <c r="H129">
        <v>469.32</v>
      </c>
      <c r="I129" t="s">
        <v>548</v>
      </c>
      <c r="J129" t="s">
        <v>22</v>
      </c>
      <c r="K129" t="s">
        <v>23</v>
      </c>
      <c r="L129" t="s">
        <v>549</v>
      </c>
      <c r="M129">
        <v>3</v>
      </c>
      <c r="O129" t="s">
        <v>83</v>
      </c>
      <c r="P129">
        <v>1407.96</v>
      </c>
      <c r="Q129">
        <v>1407.96</v>
      </c>
      <c r="R129" t="str">
        <f>IF(OR(P129&lt;Outliers!$B$5, P129&gt;Outliers!$B$6), "outliers", "")</f>
        <v/>
      </c>
    </row>
    <row r="130" spans="1:18" x14ac:dyDescent="0.25">
      <c r="A130" t="s">
        <v>550</v>
      </c>
      <c r="B130" s="1">
        <v>44974</v>
      </c>
      <c r="C130">
        <v>2023</v>
      </c>
      <c r="D130" t="s">
        <v>18</v>
      </c>
      <c r="E130" t="s">
        <v>551</v>
      </c>
      <c r="F130" t="s">
        <v>37</v>
      </c>
      <c r="G130">
        <v>4</v>
      </c>
      <c r="H130">
        <v>21.07</v>
      </c>
      <c r="I130" t="s">
        <v>552</v>
      </c>
      <c r="J130" t="s">
        <v>67</v>
      </c>
      <c r="K130" t="s">
        <v>57</v>
      </c>
      <c r="L130" t="s">
        <v>553</v>
      </c>
      <c r="M130">
        <v>4</v>
      </c>
      <c r="N130" t="s">
        <v>42</v>
      </c>
      <c r="O130" t="s">
        <v>83</v>
      </c>
      <c r="P130">
        <v>84.28</v>
      </c>
      <c r="Q130">
        <v>84.28</v>
      </c>
      <c r="R130" t="str">
        <f>IF(OR(P130&lt;Outliers!$B$5, P130&gt;Outliers!$B$6), "outliers", "")</f>
        <v/>
      </c>
    </row>
    <row r="131" spans="1:18" x14ac:dyDescent="0.25">
      <c r="A131" t="s">
        <v>554</v>
      </c>
      <c r="B131" s="1">
        <v>45226</v>
      </c>
      <c r="C131">
        <v>2023</v>
      </c>
      <c r="D131" t="s">
        <v>45</v>
      </c>
      <c r="E131" t="s">
        <v>555</v>
      </c>
      <c r="F131" t="s">
        <v>65</v>
      </c>
      <c r="G131">
        <v>4</v>
      </c>
      <c r="H131">
        <v>263.93</v>
      </c>
      <c r="I131" t="s">
        <v>556</v>
      </c>
      <c r="J131" t="s">
        <v>22</v>
      </c>
      <c r="K131" t="s">
        <v>23</v>
      </c>
      <c r="L131" t="s">
        <v>557</v>
      </c>
      <c r="M131">
        <v>4</v>
      </c>
      <c r="N131" t="s">
        <v>42</v>
      </c>
      <c r="O131" t="s">
        <v>51</v>
      </c>
      <c r="P131">
        <v>1055.72</v>
      </c>
      <c r="Q131">
        <v>1055.72</v>
      </c>
      <c r="R131" t="str">
        <f>IF(OR(P131&lt;Outliers!$B$5, P131&gt;Outliers!$B$6), "outliers", "")</f>
        <v/>
      </c>
    </row>
    <row r="132" spans="1:18" x14ac:dyDescent="0.25">
      <c r="A132" t="s">
        <v>558</v>
      </c>
      <c r="B132" s="1">
        <v>45679</v>
      </c>
      <c r="C132">
        <v>2025</v>
      </c>
      <c r="D132" t="s">
        <v>18</v>
      </c>
      <c r="E132" t="s">
        <v>559</v>
      </c>
      <c r="F132" t="s">
        <v>80</v>
      </c>
      <c r="G132">
        <v>3</v>
      </c>
      <c r="H132">
        <v>501.3</v>
      </c>
      <c r="I132" t="s">
        <v>560</v>
      </c>
      <c r="J132" t="s">
        <v>32</v>
      </c>
      <c r="K132" t="s">
        <v>40</v>
      </c>
      <c r="L132" t="s">
        <v>561</v>
      </c>
      <c r="M132">
        <v>3</v>
      </c>
      <c r="N132" t="s">
        <v>88</v>
      </c>
      <c r="O132" t="s">
        <v>51</v>
      </c>
      <c r="P132">
        <v>1503.9</v>
      </c>
      <c r="Q132">
        <v>1503.9</v>
      </c>
      <c r="R132" t="str">
        <f>IF(OR(P132&lt;Outliers!$B$5, P132&gt;Outliers!$B$6), "outliers", "")</f>
        <v/>
      </c>
    </row>
    <row r="133" spans="1:18" x14ac:dyDescent="0.25">
      <c r="A133" t="s">
        <v>562</v>
      </c>
      <c r="B133" s="1">
        <v>44934</v>
      </c>
      <c r="C133">
        <v>2023</v>
      </c>
      <c r="D133" t="s">
        <v>18</v>
      </c>
      <c r="E133" t="s">
        <v>563</v>
      </c>
      <c r="F133" t="s">
        <v>37</v>
      </c>
      <c r="G133">
        <v>1</v>
      </c>
      <c r="H133">
        <v>84.8</v>
      </c>
      <c r="I133" t="s">
        <v>564</v>
      </c>
      <c r="J133" t="s">
        <v>67</v>
      </c>
      <c r="K133" t="s">
        <v>96</v>
      </c>
      <c r="L133" t="s">
        <v>565</v>
      </c>
      <c r="M133">
        <v>5</v>
      </c>
      <c r="O133" t="s">
        <v>26</v>
      </c>
      <c r="P133">
        <v>84.8</v>
      </c>
      <c r="Q133">
        <v>84.8</v>
      </c>
      <c r="R133" t="str">
        <f>IF(OR(P133&lt;Outliers!$B$5, P133&gt;Outliers!$B$6), "outliers", "")</f>
        <v/>
      </c>
    </row>
    <row r="134" spans="1:18" x14ac:dyDescent="0.25">
      <c r="A134" t="s">
        <v>566</v>
      </c>
      <c r="B134" s="1">
        <v>45013</v>
      </c>
      <c r="C134">
        <v>2023</v>
      </c>
      <c r="D134" t="s">
        <v>18</v>
      </c>
      <c r="E134" t="s">
        <v>567</v>
      </c>
      <c r="F134" t="s">
        <v>37</v>
      </c>
      <c r="G134">
        <v>4</v>
      </c>
      <c r="H134">
        <v>450.75</v>
      </c>
      <c r="I134" t="s">
        <v>568</v>
      </c>
      <c r="J134" t="s">
        <v>39</v>
      </c>
      <c r="K134" t="s">
        <v>23</v>
      </c>
      <c r="L134" t="s">
        <v>569</v>
      </c>
      <c r="M134">
        <v>6</v>
      </c>
      <c r="N134" t="s">
        <v>88</v>
      </c>
      <c r="O134" t="s">
        <v>43</v>
      </c>
      <c r="P134">
        <v>1803</v>
      </c>
      <c r="Q134">
        <v>1803</v>
      </c>
      <c r="R134" t="str">
        <f>IF(OR(P134&lt;Outliers!$B$5, P134&gt;Outliers!$B$6), "outliers", "")</f>
        <v/>
      </c>
    </row>
    <row r="135" spans="1:18" x14ac:dyDescent="0.25">
      <c r="A135" t="s">
        <v>570</v>
      </c>
      <c r="B135" s="1">
        <v>45828</v>
      </c>
      <c r="C135">
        <v>2025</v>
      </c>
      <c r="D135" t="s">
        <v>53</v>
      </c>
      <c r="E135" t="s">
        <v>571</v>
      </c>
      <c r="F135" t="s">
        <v>47</v>
      </c>
      <c r="G135">
        <v>4</v>
      </c>
      <c r="H135">
        <v>302.05</v>
      </c>
      <c r="I135" t="s">
        <v>572</v>
      </c>
      <c r="J135" t="s">
        <v>22</v>
      </c>
      <c r="K135" t="s">
        <v>40</v>
      </c>
      <c r="L135" t="s">
        <v>573</v>
      </c>
      <c r="M135">
        <v>6</v>
      </c>
      <c r="N135" t="s">
        <v>25</v>
      </c>
      <c r="O135" t="s">
        <v>83</v>
      </c>
      <c r="P135">
        <v>1208.2</v>
      </c>
      <c r="Q135">
        <v>1208.2</v>
      </c>
      <c r="R135" t="str">
        <f>IF(OR(P135&lt;Outliers!$B$5, P135&gt;Outliers!$B$6), "outliers", "")</f>
        <v/>
      </c>
    </row>
    <row r="136" spans="1:18" x14ac:dyDescent="0.25">
      <c r="A136" t="s">
        <v>574</v>
      </c>
      <c r="B136" s="1">
        <v>45831</v>
      </c>
      <c r="C136">
        <v>2025</v>
      </c>
      <c r="D136" t="s">
        <v>53</v>
      </c>
      <c r="E136" t="s">
        <v>575</v>
      </c>
      <c r="F136" t="s">
        <v>65</v>
      </c>
      <c r="G136">
        <v>2</v>
      </c>
      <c r="H136">
        <v>199.7</v>
      </c>
      <c r="I136" t="s">
        <v>568</v>
      </c>
      <c r="J136" t="s">
        <v>72</v>
      </c>
      <c r="K136" t="s">
        <v>96</v>
      </c>
      <c r="L136" t="s">
        <v>576</v>
      </c>
      <c r="M136">
        <v>4</v>
      </c>
      <c r="O136" t="s">
        <v>43</v>
      </c>
      <c r="P136">
        <v>399.4</v>
      </c>
      <c r="Q136">
        <v>399.4</v>
      </c>
      <c r="R136" t="str">
        <f>IF(OR(P136&lt;Outliers!$B$5, P136&gt;Outliers!$B$6), "outliers", "")</f>
        <v/>
      </c>
    </row>
    <row r="137" spans="1:18" x14ac:dyDescent="0.25">
      <c r="A137" t="s">
        <v>577</v>
      </c>
      <c r="B137" s="1">
        <v>45142</v>
      </c>
      <c r="C137">
        <v>2023</v>
      </c>
      <c r="D137" t="s">
        <v>28</v>
      </c>
      <c r="E137" t="s">
        <v>578</v>
      </c>
      <c r="F137" t="s">
        <v>55</v>
      </c>
      <c r="G137">
        <v>2</v>
      </c>
      <c r="H137">
        <v>68.81</v>
      </c>
      <c r="I137" t="s">
        <v>579</v>
      </c>
      <c r="J137" t="s">
        <v>67</v>
      </c>
      <c r="K137" t="s">
        <v>23</v>
      </c>
      <c r="L137" t="s">
        <v>580</v>
      </c>
      <c r="M137">
        <v>5</v>
      </c>
      <c r="N137" t="s">
        <v>25</v>
      </c>
      <c r="O137" t="s">
        <v>34</v>
      </c>
      <c r="P137">
        <v>137.62</v>
      </c>
      <c r="Q137">
        <v>137.62</v>
      </c>
      <c r="R137" t="str">
        <f>IF(OR(P137&lt;Outliers!$B$5, P137&gt;Outliers!$B$6), "outliers", "")</f>
        <v/>
      </c>
    </row>
    <row r="138" spans="1:18" x14ac:dyDescent="0.25">
      <c r="A138" t="s">
        <v>581</v>
      </c>
      <c r="B138" s="1">
        <v>45409</v>
      </c>
      <c r="C138">
        <v>2024</v>
      </c>
      <c r="D138" t="s">
        <v>53</v>
      </c>
      <c r="E138" t="s">
        <v>582</v>
      </c>
      <c r="F138" t="s">
        <v>65</v>
      </c>
      <c r="G138">
        <v>1</v>
      </c>
      <c r="H138">
        <v>44.35</v>
      </c>
      <c r="I138" t="s">
        <v>583</v>
      </c>
      <c r="J138" t="s">
        <v>67</v>
      </c>
      <c r="K138" t="s">
        <v>40</v>
      </c>
      <c r="L138" t="s">
        <v>584</v>
      </c>
      <c r="M138">
        <v>1</v>
      </c>
      <c r="N138" t="s">
        <v>25</v>
      </c>
      <c r="O138" t="s">
        <v>26</v>
      </c>
      <c r="P138">
        <v>44.35</v>
      </c>
      <c r="Q138">
        <v>44.35</v>
      </c>
      <c r="R138" t="str">
        <f>IF(OR(P138&lt;Outliers!$B$5, P138&gt;Outliers!$B$6), "outliers", "")</f>
        <v/>
      </c>
    </row>
    <row r="139" spans="1:18" x14ac:dyDescent="0.25">
      <c r="A139" t="s">
        <v>585</v>
      </c>
      <c r="B139" s="1">
        <v>45622</v>
      </c>
      <c r="C139">
        <v>2024</v>
      </c>
      <c r="D139" t="s">
        <v>45</v>
      </c>
      <c r="E139" t="s">
        <v>586</v>
      </c>
      <c r="F139" t="s">
        <v>20</v>
      </c>
      <c r="G139">
        <v>2</v>
      </c>
      <c r="H139">
        <v>250.98</v>
      </c>
      <c r="I139" t="s">
        <v>587</v>
      </c>
      <c r="J139" t="s">
        <v>39</v>
      </c>
      <c r="K139" t="s">
        <v>57</v>
      </c>
      <c r="L139" t="s">
        <v>588</v>
      </c>
      <c r="M139">
        <v>5</v>
      </c>
      <c r="O139" t="s">
        <v>83</v>
      </c>
      <c r="P139">
        <v>501.96</v>
      </c>
      <c r="Q139">
        <v>501.96</v>
      </c>
      <c r="R139" t="str">
        <f>IF(OR(P139&lt;Outliers!$B$5, P139&gt;Outliers!$B$6), "outliers", "")</f>
        <v/>
      </c>
    </row>
    <row r="140" spans="1:18" x14ac:dyDescent="0.25">
      <c r="A140" t="s">
        <v>589</v>
      </c>
      <c r="B140" s="1">
        <v>45281</v>
      </c>
      <c r="C140">
        <v>2023</v>
      </c>
      <c r="D140" t="s">
        <v>45</v>
      </c>
      <c r="E140" t="s">
        <v>590</v>
      </c>
      <c r="F140" t="s">
        <v>37</v>
      </c>
      <c r="G140">
        <v>1</v>
      </c>
      <c r="H140">
        <v>298.06</v>
      </c>
      <c r="I140" t="s">
        <v>591</v>
      </c>
      <c r="J140" t="s">
        <v>22</v>
      </c>
      <c r="K140" t="s">
        <v>96</v>
      </c>
      <c r="L140" t="s">
        <v>592</v>
      </c>
      <c r="M140">
        <v>3</v>
      </c>
      <c r="N140" t="s">
        <v>88</v>
      </c>
      <c r="O140" t="s">
        <v>83</v>
      </c>
      <c r="P140">
        <v>298.06</v>
      </c>
      <c r="Q140">
        <v>298.06</v>
      </c>
      <c r="R140" t="str">
        <f>IF(OR(P140&lt;Outliers!$B$5, P140&gt;Outliers!$B$6), "outliers", "")</f>
        <v/>
      </c>
    </row>
    <row r="141" spans="1:18" x14ac:dyDescent="0.25">
      <c r="A141" t="s">
        <v>593</v>
      </c>
      <c r="B141" s="1">
        <v>45026</v>
      </c>
      <c r="C141">
        <v>2023</v>
      </c>
      <c r="D141" t="s">
        <v>53</v>
      </c>
      <c r="E141" t="s">
        <v>594</v>
      </c>
      <c r="F141" t="s">
        <v>30</v>
      </c>
      <c r="G141">
        <v>1</v>
      </c>
      <c r="H141">
        <v>583.9</v>
      </c>
      <c r="I141" t="s">
        <v>595</v>
      </c>
      <c r="J141" t="s">
        <v>72</v>
      </c>
      <c r="K141" t="s">
        <v>49</v>
      </c>
      <c r="L141" t="s">
        <v>596</v>
      </c>
      <c r="M141">
        <v>1</v>
      </c>
      <c r="O141" t="s">
        <v>43</v>
      </c>
      <c r="P141">
        <v>583.9</v>
      </c>
      <c r="Q141">
        <v>583.9</v>
      </c>
      <c r="R141" t="str">
        <f>IF(OR(P141&lt;Outliers!$B$5, P141&gt;Outliers!$B$6), "outliers", "")</f>
        <v/>
      </c>
    </row>
    <row r="142" spans="1:18" x14ac:dyDescent="0.25">
      <c r="A142" t="s">
        <v>597</v>
      </c>
      <c r="B142" s="1">
        <v>45808</v>
      </c>
      <c r="C142">
        <v>2025</v>
      </c>
      <c r="D142" t="s">
        <v>53</v>
      </c>
      <c r="E142" t="s">
        <v>598</v>
      </c>
      <c r="F142" t="s">
        <v>47</v>
      </c>
      <c r="G142">
        <v>3</v>
      </c>
      <c r="H142">
        <v>528.14</v>
      </c>
      <c r="I142" t="s">
        <v>481</v>
      </c>
      <c r="J142" t="s">
        <v>32</v>
      </c>
      <c r="K142" t="s">
        <v>57</v>
      </c>
      <c r="L142" t="s">
        <v>599</v>
      </c>
      <c r="M142">
        <v>3</v>
      </c>
      <c r="N142" t="s">
        <v>42</v>
      </c>
      <c r="O142" t="s">
        <v>43</v>
      </c>
      <c r="P142">
        <v>1584.42</v>
      </c>
      <c r="Q142">
        <v>1584.42</v>
      </c>
      <c r="R142" t="str">
        <f>IF(OR(P142&lt;Outliers!$B$5, P142&gt;Outliers!$B$6), "outliers", "")</f>
        <v/>
      </c>
    </row>
    <row r="143" spans="1:18" x14ac:dyDescent="0.25">
      <c r="A143" t="s">
        <v>600</v>
      </c>
      <c r="B143" s="1">
        <v>45248</v>
      </c>
      <c r="C143">
        <v>2023</v>
      </c>
      <c r="D143" t="s">
        <v>45</v>
      </c>
      <c r="E143" t="s">
        <v>601</v>
      </c>
      <c r="F143" t="s">
        <v>55</v>
      </c>
      <c r="G143">
        <v>3</v>
      </c>
      <c r="H143">
        <v>684.14</v>
      </c>
      <c r="I143" t="s">
        <v>602</v>
      </c>
      <c r="J143" t="s">
        <v>72</v>
      </c>
      <c r="K143" t="s">
        <v>40</v>
      </c>
      <c r="L143" t="s">
        <v>603</v>
      </c>
      <c r="M143">
        <v>3</v>
      </c>
      <c r="N143" t="s">
        <v>88</v>
      </c>
      <c r="O143" t="s">
        <v>26</v>
      </c>
      <c r="P143">
        <v>2052.42</v>
      </c>
      <c r="Q143">
        <v>2052.42</v>
      </c>
      <c r="R143" t="str">
        <f>IF(OR(P143&lt;Outliers!$B$5, P143&gt;Outliers!$B$6), "outliers", "")</f>
        <v/>
      </c>
    </row>
    <row r="144" spans="1:18" x14ac:dyDescent="0.25">
      <c r="A144" t="s">
        <v>604</v>
      </c>
      <c r="B144" s="1">
        <v>45175</v>
      </c>
      <c r="C144">
        <v>2023</v>
      </c>
      <c r="D144" t="s">
        <v>28</v>
      </c>
      <c r="E144" t="s">
        <v>605</v>
      </c>
      <c r="F144" t="s">
        <v>80</v>
      </c>
      <c r="G144">
        <v>5</v>
      </c>
      <c r="H144">
        <v>272.77</v>
      </c>
      <c r="I144" t="s">
        <v>606</v>
      </c>
      <c r="J144" t="s">
        <v>72</v>
      </c>
      <c r="K144" t="s">
        <v>96</v>
      </c>
      <c r="L144" t="s">
        <v>607</v>
      </c>
      <c r="M144">
        <v>7</v>
      </c>
      <c r="N144" t="s">
        <v>88</v>
      </c>
      <c r="O144" t="s">
        <v>43</v>
      </c>
      <c r="P144">
        <v>1363.85</v>
      </c>
      <c r="Q144">
        <v>1363.85</v>
      </c>
      <c r="R144" t="str">
        <f>IF(OR(P144&lt;Outliers!$B$5, P144&gt;Outliers!$B$6), "outliers", "")</f>
        <v/>
      </c>
    </row>
    <row r="145" spans="1:18" x14ac:dyDescent="0.25">
      <c r="A145" t="s">
        <v>608</v>
      </c>
      <c r="B145" s="1">
        <v>45456</v>
      </c>
      <c r="C145">
        <v>2024</v>
      </c>
      <c r="D145" t="s">
        <v>53</v>
      </c>
      <c r="E145" t="s">
        <v>609</v>
      </c>
      <c r="F145" t="s">
        <v>47</v>
      </c>
      <c r="G145">
        <v>4</v>
      </c>
      <c r="H145">
        <v>400.07</v>
      </c>
      <c r="I145" t="s">
        <v>610</v>
      </c>
      <c r="J145" t="s">
        <v>32</v>
      </c>
      <c r="K145" t="s">
        <v>23</v>
      </c>
      <c r="L145" t="s">
        <v>611</v>
      </c>
      <c r="M145">
        <v>5</v>
      </c>
      <c r="O145" t="s">
        <v>34</v>
      </c>
      <c r="P145">
        <v>1600.28</v>
      </c>
      <c r="Q145">
        <v>1600.28</v>
      </c>
      <c r="R145" t="str">
        <f>IF(OR(P145&lt;Outliers!$B$5, P145&gt;Outliers!$B$6), "outliers", "")</f>
        <v/>
      </c>
    </row>
    <row r="146" spans="1:18" x14ac:dyDescent="0.25">
      <c r="A146" t="s">
        <v>612</v>
      </c>
      <c r="B146" s="1">
        <v>45142</v>
      </c>
      <c r="C146">
        <v>2023</v>
      </c>
      <c r="D146" t="s">
        <v>28</v>
      </c>
      <c r="E146" t="s">
        <v>613</v>
      </c>
      <c r="F146" t="s">
        <v>80</v>
      </c>
      <c r="G146">
        <v>5</v>
      </c>
      <c r="H146">
        <v>219.78</v>
      </c>
      <c r="I146" t="s">
        <v>168</v>
      </c>
      <c r="J146" t="s">
        <v>39</v>
      </c>
      <c r="K146" t="s">
        <v>96</v>
      </c>
      <c r="L146" t="s">
        <v>614</v>
      </c>
      <c r="M146">
        <v>8</v>
      </c>
      <c r="O146" t="s">
        <v>51</v>
      </c>
      <c r="P146">
        <v>1098.9000000000001</v>
      </c>
      <c r="Q146">
        <v>1098.9000000000001</v>
      </c>
      <c r="R146" t="str">
        <f>IF(OR(P146&lt;Outliers!$B$5, P146&gt;Outliers!$B$6), "outliers", "")</f>
        <v/>
      </c>
    </row>
    <row r="147" spans="1:18" x14ac:dyDescent="0.25">
      <c r="A147" t="s">
        <v>615</v>
      </c>
      <c r="B147" s="1">
        <v>45353</v>
      </c>
      <c r="C147">
        <v>2024</v>
      </c>
      <c r="D147" t="s">
        <v>18</v>
      </c>
      <c r="E147" t="s">
        <v>616</v>
      </c>
      <c r="F147" t="s">
        <v>55</v>
      </c>
      <c r="G147">
        <v>3</v>
      </c>
      <c r="H147">
        <v>146.91</v>
      </c>
      <c r="I147" t="s">
        <v>617</v>
      </c>
      <c r="J147" t="s">
        <v>39</v>
      </c>
      <c r="K147" t="s">
        <v>57</v>
      </c>
      <c r="L147" t="s">
        <v>618</v>
      </c>
      <c r="M147">
        <v>6</v>
      </c>
      <c r="N147" t="s">
        <v>42</v>
      </c>
      <c r="O147" t="s">
        <v>83</v>
      </c>
      <c r="P147">
        <v>440.73</v>
      </c>
      <c r="Q147">
        <v>440.73</v>
      </c>
      <c r="R147" t="str">
        <f>IF(OR(P147&lt;Outliers!$B$5, P147&gt;Outliers!$B$6), "outliers", "")</f>
        <v/>
      </c>
    </row>
    <row r="148" spans="1:18" x14ac:dyDescent="0.25">
      <c r="A148" t="s">
        <v>619</v>
      </c>
      <c r="B148" s="1">
        <v>45777</v>
      </c>
      <c r="C148">
        <v>2025</v>
      </c>
      <c r="D148" t="s">
        <v>53</v>
      </c>
      <c r="E148" t="s">
        <v>620</v>
      </c>
      <c r="F148" t="s">
        <v>37</v>
      </c>
      <c r="G148">
        <v>2</v>
      </c>
      <c r="H148">
        <v>411.49</v>
      </c>
      <c r="I148" t="s">
        <v>621</v>
      </c>
      <c r="J148" t="s">
        <v>39</v>
      </c>
      <c r="K148" t="s">
        <v>49</v>
      </c>
      <c r="L148" t="s">
        <v>622</v>
      </c>
      <c r="M148">
        <v>4</v>
      </c>
      <c r="O148" t="s">
        <v>26</v>
      </c>
      <c r="P148">
        <v>822.98</v>
      </c>
      <c r="Q148">
        <v>822.98</v>
      </c>
      <c r="R148" t="str">
        <f>IF(OR(P148&lt;Outliers!$B$5, P148&gt;Outliers!$B$6), "outliers", "")</f>
        <v/>
      </c>
    </row>
    <row r="149" spans="1:18" x14ac:dyDescent="0.25">
      <c r="A149" t="s">
        <v>623</v>
      </c>
      <c r="B149" s="1">
        <v>45783</v>
      </c>
      <c r="C149">
        <v>2025</v>
      </c>
      <c r="D149" t="s">
        <v>53</v>
      </c>
      <c r="E149" t="s">
        <v>624</v>
      </c>
      <c r="F149" t="s">
        <v>65</v>
      </c>
      <c r="G149">
        <v>2</v>
      </c>
      <c r="H149">
        <v>465.18</v>
      </c>
      <c r="I149" t="s">
        <v>625</v>
      </c>
      <c r="J149" t="s">
        <v>39</v>
      </c>
      <c r="K149" t="s">
        <v>40</v>
      </c>
      <c r="L149" t="s">
        <v>626</v>
      </c>
      <c r="M149">
        <v>2</v>
      </c>
      <c r="N149" t="s">
        <v>25</v>
      </c>
      <c r="O149" t="s">
        <v>83</v>
      </c>
      <c r="P149">
        <v>930.36</v>
      </c>
      <c r="Q149">
        <v>930.36</v>
      </c>
      <c r="R149" t="str">
        <f>IF(OR(P149&lt;Outliers!$B$5, P149&gt;Outliers!$B$6), "outliers", "")</f>
        <v/>
      </c>
    </row>
    <row r="150" spans="1:18" x14ac:dyDescent="0.25">
      <c r="A150" t="s">
        <v>627</v>
      </c>
      <c r="B150" s="1">
        <v>45641</v>
      </c>
      <c r="C150">
        <v>2024</v>
      </c>
      <c r="D150" t="s">
        <v>45</v>
      </c>
      <c r="E150" t="s">
        <v>628</v>
      </c>
      <c r="F150" t="s">
        <v>30</v>
      </c>
      <c r="G150">
        <v>2</v>
      </c>
      <c r="H150">
        <v>319.91000000000003</v>
      </c>
      <c r="I150" t="s">
        <v>629</v>
      </c>
      <c r="J150" t="s">
        <v>39</v>
      </c>
      <c r="K150" t="s">
        <v>40</v>
      </c>
      <c r="L150" t="s">
        <v>630</v>
      </c>
      <c r="M150">
        <v>3</v>
      </c>
      <c r="N150" t="s">
        <v>88</v>
      </c>
      <c r="O150" t="s">
        <v>83</v>
      </c>
      <c r="P150">
        <v>639.82000000000005</v>
      </c>
      <c r="Q150">
        <v>639.82000000000005</v>
      </c>
      <c r="R150" t="str">
        <f>IF(OR(P150&lt;Outliers!$B$5, P150&gt;Outliers!$B$6), "outliers", "")</f>
        <v/>
      </c>
    </row>
    <row r="151" spans="1:18" x14ac:dyDescent="0.25">
      <c r="A151" t="s">
        <v>631</v>
      </c>
      <c r="B151" s="1">
        <v>45287</v>
      </c>
      <c r="C151">
        <v>2023</v>
      </c>
      <c r="D151" t="s">
        <v>45</v>
      </c>
      <c r="E151" t="s">
        <v>632</v>
      </c>
      <c r="F151" t="s">
        <v>65</v>
      </c>
      <c r="G151">
        <v>1</v>
      </c>
      <c r="H151">
        <v>217.56</v>
      </c>
      <c r="I151" t="s">
        <v>633</v>
      </c>
      <c r="J151" t="s">
        <v>22</v>
      </c>
      <c r="K151" t="s">
        <v>57</v>
      </c>
      <c r="L151" t="s">
        <v>634</v>
      </c>
      <c r="M151">
        <v>3</v>
      </c>
      <c r="O151" t="s">
        <v>51</v>
      </c>
      <c r="P151">
        <v>217.56</v>
      </c>
      <c r="Q151">
        <v>217.56</v>
      </c>
      <c r="R151" t="str">
        <f>IF(OR(P151&lt;Outliers!$B$5, P151&gt;Outliers!$B$6), "outliers", "")</f>
        <v/>
      </c>
    </row>
    <row r="152" spans="1:18" x14ac:dyDescent="0.25">
      <c r="A152" t="s">
        <v>635</v>
      </c>
      <c r="B152" s="1">
        <v>45273</v>
      </c>
      <c r="C152">
        <v>2023</v>
      </c>
      <c r="D152" t="s">
        <v>45</v>
      </c>
      <c r="E152" t="s">
        <v>636</v>
      </c>
      <c r="F152" t="s">
        <v>30</v>
      </c>
      <c r="G152">
        <v>2</v>
      </c>
      <c r="H152">
        <v>105.57</v>
      </c>
      <c r="I152" t="s">
        <v>637</v>
      </c>
      <c r="J152" t="s">
        <v>22</v>
      </c>
      <c r="K152" t="s">
        <v>49</v>
      </c>
      <c r="L152" t="s">
        <v>638</v>
      </c>
      <c r="M152">
        <v>5</v>
      </c>
      <c r="N152" t="s">
        <v>88</v>
      </c>
      <c r="O152" t="s">
        <v>83</v>
      </c>
      <c r="P152">
        <v>211.14</v>
      </c>
      <c r="Q152">
        <v>211.14</v>
      </c>
      <c r="R152" t="str">
        <f>IF(OR(P152&lt;Outliers!$B$5, P152&gt;Outliers!$B$6), "outliers", "")</f>
        <v/>
      </c>
    </row>
    <row r="153" spans="1:18" x14ac:dyDescent="0.25">
      <c r="A153" t="s">
        <v>639</v>
      </c>
      <c r="B153" s="1">
        <v>45261</v>
      </c>
      <c r="C153">
        <v>2023</v>
      </c>
      <c r="D153" t="s">
        <v>45</v>
      </c>
      <c r="E153" t="s">
        <v>640</v>
      </c>
      <c r="F153" t="s">
        <v>55</v>
      </c>
      <c r="G153">
        <v>5</v>
      </c>
      <c r="H153">
        <v>444.76</v>
      </c>
      <c r="I153" t="s">
        <v>641</v>
      </c>
      <c r="J153" t="s">
        <v>22</v>
      </c>
      <c r="K153" t="s">
        <v>49</v>
      </c>
      <c r="L153" t="s">
        <v>642</v>
      </c>
      <c r="M153">
        <v>7</v>
      </c>
      <c r="O153" t="s">
        <v>43</v>
      </c>
      <c r="P153">
        <v>2223.8000000000002</v>
      </c>
      <c r="Q153">
        <v>2223.8000000000002</v>
      </c>
      <c r="R153" t="str">
        <f>IF(OR(P153&lt;Outliers!$B$5, P153&gt;Outliers!$B$6), "outliers", "")</f>
        <v/>
      </c>
    </row>
    <row r="154" spans="1:18" x14ac:dyDescent="0.25">
      <c r="A154" t="s">
        <v>643</v>
      </c>
      <c r="B154" s="1">
        <v>45659</v>
      </c>
      <c r="C154">
        <v>2025</v>
      </c>
      <c r="D154" t="s">
        <v>18</v>
      </c>
      <c r="E154" t="s">
        <v>644</v>
      </c>
      <c r="F154" t="s">
        <v>47</v>
      </c>
      <c r="G154">
        <v>2</v>
      </c>
      <c r="H154">
        <v>399.04</v>
      </c>
      <c r="I154" t="s">
        <v>645</v>
      </c>
      <c r="J154" t="s">
        <v>72</v>
      </c>
      <c r="K154" t="s">
        <v>40</v>
      </c>
      <c r="L154" t="s">
        <v>646</v>
      </c>
      <c r="M154">
        <v>3</v>
      </c>
      <c r="N154" t="s">
        <v>42</v>
      </c>
      <c r="O154" t="s">
        <v>34</v>
      </c>
      <c r="P154">
        <v>798.08</v>
      </c>
      <c r="Q154">
        <v>798.08</v>
      </c>
      <c r="R154" t="str">
        <f>IF(OR(P154&lt;Outliers!$B$5, P154&gt;Outliers!$B$6), "outliers", "")</f>
        <v/>
      </c>
    </row>
    <row r="155" spans="1:18" x14ac:dyDescent="0.25">
      <c r="A155" t="s">
        <v>647</v>
      </c>
      <c r="B155" s="1">
        <v>45644</v>
      </c>
      <c r="C155">
        <v>2024</v>
      </c>
      <c r="D155" t="s">
        <v>45</v>
      </c>
      <c r="E155" t="s">
        <v>648</v>
      </c>
      <c r="F155" t="s">
        <v>47</v>
      </c>
      <c r="G155">
        <v>4</v>
      </c>
      <c r="H155">
        <v>534.48</v>
      </c>
      <c r="I155" t="s">
        <v>649</v>
      </c>
      <c r="J155" t="s">
        <v>32</v>
      </c>
      <c r="K155" t="s">
        <v>49</v>
      </c>
      <c r="L155" t="s">
        <v>650</v>
      </c>
      <c r="M155">
        <v>9</v>
      </c>
      <c r="N155" t="s">
        <v>88</v>
      </c>
      <c r="O155" t="s">
        <v>26</v>
      </c>
      <c r="P155">
        <v>2137.92</v>
      </c>
      <c r="Q155">
        <v>2137.92</v>
      </c>
      <c r="R155" t="str">
        <f>IF(OR(P155&lt;Outliers!$B$5, P155&gt;Outliers!$B$6), "outliers", "")</f>
        <v/>
      </c>
    </row>
    <row r="156" spans="1:18" x14ac:dyDescent="0.25">
      <c r="A156" t="s">
        <v>651</v>
      </c>
      <c r="B156" s="1">
        <v>45127</v>
      </c>
      <c r="C156">
        <v>2023</v>
      </c>
      <c r="D156" t="s">
        <v>28</v>
      </c>
      <c r="E156" t="s">
        <v>652</v>
      </c>
      <c r="F156" t="s">
        <v>30</v>
      </c>
      <c r="G156">
        <v>4</v>
      </c>
      <c r="H156">
        <v>408.21</v>
      </c>
      <c r="I156" t="s">
        <v>532</v>
      </c>
      <c r="J156" t="s">
        <v>39</v>
      </c>
      <c r="K156" t="s">
        <v>96</v>
      </c>
      <c r="L156" t="s">
        <v>653</v>
      </c>
      <c r="M156">
        <v>9</v>
      </c>
      <c r="O156" t="s">
        <v>26</v>
      </c>
      <c r="P156">
        <v>1632.84</v>
      </c>
      <c r="Q156">
        <v>1632.84</v>
      </c>
      <c r="R156" t="str">
        <f>IF(OR(P156&lt;Outliers!$B$5, P156&gt;Outliers!$B$6), "outliers", "")</f>
        <v/>
      </c>
    </row>
    <row r="157" spans="1:18" x14ac:dyDescent="0.25">
      <c r="A157" t="s">
        <v>654</v>
      </c>
      <c r="B157" s="1">
        <v>44984</v>
      </c>
      <c r="C157">
        <v>2023</v>
      </c>
      <c r="D157" t="s">
        <v>18</v>
      </c>
      <c r="E157" t="s">
        <v>655</v>
      </c>
      <c r="F157" t="s">
        <v>30</v>
      </c>
      <c r="G157">
        <v>1</v>
      </c>
      <c r="H157">
        <v>424.4</v>
      </c>
      <c r="I157" t="s">
        <v>245</v>
      </c>
      <c r="J157" t="s">
        <v>32</v>
      </c>
      <c r="K157" t="s">
        <v>23</v>
      </c>
      <c r="L157" t="s">
        <v>656</v>
      </c>
      <c r="M157">
        <v>6</v>
      </c>
      <c r="N157" t="s">
        <v>88</v>
      </c>
      <c r="O157" t="s">
        <v>34</v>
      </c>
      <c r="P157">
        <v>424.4</v>
      </c>
      <c r="Q157">
        <v>424.4</v>
      </c>
      <c r="R157" t="str">
        <f>IF(OR(P157&lt;Outliers!$B$5, P157&gt;Outliers!$B$6), "outliers", "")</f>
        <v/>
      </c>
    </row>
    <row r="158" spans="1:18" x14ac:dyDescent="0.25">
      <c r="A158" t="s">
        <v>657</v>
      </c>
      <c r="B158" s="1">
        <v>45604</v>
      </c>
      <c r="C158">
        <v>2024</v>
      </c>
      <c r="D158" t="s">
        <v>45</v>
      </c>
      <c r="E158" t="s">
        <v>658</v>
      </c>
      <c r="F158" t="s">
        <v>47</v>
      </c>
      <c r="G158">
        <v>2</v>
      </c>
      <c r="H158">
        <v>269.83</v>
      </c>
      <c r="I158" t="s">
        <v>659</v>
      </c>
      <c r="J158" t="s">
        <v>32</v>
      </c>
      <c r="K158" t="s">
        <v>57</v>
      </c>
      <c r="L158" t="s">
        <v>660</v>
      </c>
      <c r="M158">
        <v>4</v>
      </c>
      <c r="N158" t="s">
        <v>25</v>
      </c>
      <c r="O158" t="s">
        <v>43</v>
      </c>
      <c r="P158">
        <v>539.66</v>
      </c>
      <c r="Q158">
        <v>539.66</v>
      </c>
      <c r="R158" t="str">
        <f>IF(OR(P158&lt;Outliers!$B$5, P158&gt;Outliers!$B$6), "outliers", "")</f>
        <v/>
      </c>
    </row>
    <row r="159" spans="1:18" x14ac:dyDescent="0.25">
      <c r="A159" t="s">
        <v>661</v>
      </c>
      <c r="B159" s="1">
        <v>45709</v>
      </c>
      <c r="C159">
        <v>2025</v>
      </c>
      <c r="D159" t="s">
        <v>18</v>
      </c>
      <c r="E159" t="s">
        <v>662</v>
      </c>
      <c r="F159" t="s">
        <v>20</v>
      </c>
      <c r="G159">
        <v>2</v>
      </c>
      <c r="H159">
        <v>564.58000000000004</v>
      </c>
      <c r="I159" t="s">
        <v>572</v>
      </c>
      <c r="J159" t="s">
        <v>32</v>
      </c>
      <c r="K159" t="s">
        <v>49</v>
      </c>
      <c r="L159" t="s">
        <v>663</v>
      </c>
      <c r="M159">
        <v>4</v>
      </c>
      <c r="N159" t="s">
        <v>88</v>
      </c>
      <c r="O159" t="s">
        <v>51</v>
      </c>
      <c r="P159">
        <v>1129.1600000000001</v>
      </c>
      <c r="Q159">
        <v>1129.1600000000001</v>
      </c>
      <c r="R159" t="str">
        <f>IF(OR(P159&lt;Outliers!$B$5, P159&gt;Outliers!$B$6), "outliers", "")</f>
        <v/>
      </c>
    </row>
    <row r="160" spans="1:18" x14ac:dyDescent="0.25">
      <c r="A160" t="s">
        <v>664</v>
      </c>
      <c r="B160" s="1">
        <v>45428</v>
      </c>
      <c r="C160">
        <v>2024</v>
      </c>
      <c r="D160" t="s">
        <v>53</v>
      </c>
      <c r="E160" t="s">
        <v>665</v>
      </c>
      <c r="F160" t="s">
        <v>37</v>
      </c>
      <c r="G160">
        <v>1</v>
      </c>
      <c r="H160">
        <v>331.06</v>
      </c>
      <c r="I160" t="s">
        <v>666</v>
      </c>
      <c r="J160" t="s">
        <v>39</v>
      </c>
      <c r="K160" t="s">
        <v>96</v>
      </c>
      <c r="L160" t="s">
        <v>667</v>
      </c>
      <c r="M160">
        <v>5</v>
      </c>
      <c r="N160" t="s">
        <v>88</v>
      </c>
      <c r="O160" t="s">
        <v>26</v>
      </c>
      <c r="P160">
        <v>331.06</v>
      </c>
      <c r="Q160">
        <v>331.06</v>
      </c>
      <c r="R160" t="str">
        <f>IF(OR(P160&lt;Outliers!$B$5, P160&gt;Outliers!$B$6), "outliers", "")</f>
        <v/>
      </c>
    </row>
    <row r="161" spans="1:18" x14ac:dyDescent="0.25">
      <c r="A161" t="s">
        <v>668</v>
      </c>
      <c r="B161" s="1">
        <v>45230</v>
      </c>
      <c r="C161">
        <v>2023</v>
      </c>
      <c r="D161" t="s">
        <v>45</v>
      </c>
      <c r="E161" t="s">
        <v>669</v>
      </c>
      <c r="F161" t="s">
        <v>55</v>
      </c>
      <c r="G161">
        <v>1</v>
      </c>
      <c r="H161">
        <v>299.35000000000002</v>
      </c>
      <c r="I161" t="s">
        <v>670</v>
      </c>
      <c r="J161" t="s">
        <v>39</v>
      </c>
      <c r="K161" t="s">
        <v>40</v>
      </c>
      <c r="L161" t="s">
        <v>671</v>
      </c>
      <c r="M161">
        <v>5</v>
      </c>
      <c r="N161" t="s">
        <v>88</v>
      </c>
      <c r="O161" t="s">
        <v>43</v>
      </c>
      <c r="P161">
        <v>299.35000000000002</v>
      </c>
      <c r="Q161">
        <v>299.35000000000002</v>
      </c>
      <c r="R161" t="str">
        <f>IF(OR(P161&lt;Outliers!$B$5, P161&gt;Outliers!$B$6), "outliers", "")</f>
        <v/>
      </c>
    </row>
    <row r="162" spans="1:18" x14ac:dyDescent="0.25">
      <c r="A162" t="s">
        <v>672</v>
      </c>
      <c r="B162" s="1">
        <v>44974</v>
      </c>
      <c r="C162">
        <v>2023</v>
      </c>
      <c r="D162" t="s">
        <v>18</v>
      </c>
      <c r="E162" t="s">
        <v>673</v>
      </c>
      <c r="F162" t="s">
        <v>20</v>
      </c>
      <c r="G162">
        <v>4</v>
      </c>
      <c r="H162">
        <v>101.32</v>
      </c>
      <c r="I162" t="s">
        <v>674</v>
      </c>
      <c r="J162" t="s">
        <v>72</v>
      </c>
      <c r="K162" t="s">
        <v>96</v>
      </c>
      <c r="L162" t="s">
        <v>675</v>
      </c>
      <c r="M162">
        <v>7</v>
      </c>
      <c r="O162" t="s">
        <v>34</v>
      </c>
      <c r="P162">
        <v>405.28</v>
      </c>
      <c r="Q162">
        <v>405.28</v>
      </c>
      <c r="R162" t="str">
        <f>IF(OR(P162&lt;Outliers!$B$5, P162&gt;Outliers!$B$6), "outliers", "")</f>
        <v/>
      </c>
    </row>
    <row r="163" spans="1:18" x14ac:dyDescent="0.25">
      <c r="A163" t="s">
        <v>676</v>
      </c>
      <c r="B163" s="1">
        <v>45380</v>
      </c>
      <c r="C163">
        <v>2024</v>
      </c>
      <c r="D163" t="s">
        <v>18</v>
      </c>
      <c r="E163" t="s">
        <v>677</v>
      </c>
      <c r="F163" t="s">
        <v>20</v>
      </c>
      <c r="G163">
        <v>1</v>
      </c>
      <c r="H163">
        <v>211.14</v>
      </c>
      <c r="I163" t="s">
        <v>560</v>
      </c>
      <c r="J163" t="s">
        <v>39</v>
      </c>
      <c r="K163" t="s">
        <v>40</v>
      </c>
      <c r="L163" t="s">
        <v>678</v>
      </c>
      <c r="M163">
        <v>1</v>
      </c>
      <c r="N163" t="s">
        <v>25</v>
      </c>
      <c r="O163" t="s">
        <v>51</v>
      </c>
      <c r="P163">
        <v>211.14</v>
      </c>
      <c r="Q163">
        <v>211.14</v>
      </c>
      <c r="R163" t="str">
        <f>IF(OR(P163&lt;Outliers!$B$5, P163&gt;Outliers!$B$6), "outliers", "")</f>
        <v/>
      </c>
    </row>
    <row r="164" spans="1:18" x14ac:dyDescent="0.25">
      <c r="A164" t="s">
        <v>679</v>
      </c>
      <c r="B164" s="1">
        <v>45134</v>
      </c>
      <c r="C164">
        <v>2023</v>
      </c>
      <c r="D164" t="s">
        <v>28</v>
      </c>
      <c r="E164" t="s">
        <v>680</v>
      </c>
      <c r="F164" t="s">
        <v>47</v>
      </c>
      <c r="G164">
        <v>3</v>
      </c>
      <c r="H164">
        <v>65.86</v>
      </c>
      <c r="I164" t="s">
        <v>342</v>
      </c>
      <c r="J164" t="s">
        <v>32</v>
      </c>
      <c r="K164" t="s">
        <v>96</v>
      </c>
      <c r="L164" t="s">
        <v>681</v>
      </c>
      <c r="M164">
        <v>8</v>
      </c>
      <c r="N164" t="s">
        <v>88</v>
      </c>
      <c r="O164" t="s">
        <v>83</v>
      </c>
      <c r="P164">
        <v>197.58</v>
      </c>
      <c r="Q164">
        <v>197.58</v>
      </c>
      <c r="R164" t="str">
        <f>IF(OR(P164&lt;Outliers!$B$5, P164&gt;Outliers!$B$6), "outliers", "")</f>
        <v/>
      </c>
    </row>
    <row r="165" spans="1:18" x14ac:dyDescent="0.25">
      <c r="A165" t="s">
        <v>682</v>
      </c>
      <c r="B165" s="1">
        <v>45832</v>
      </c>
      <c r="C165">
        <v>2025</v>
      </c>
      <c r="D165" t="s">
        <v>53</v>
      </c>
      <c r="E165" t="s">
        <v>683</v>
      </c>
      <c r="F165" t="s">
        <v>37</v>
      </c>
      <c r="G165">
        <v>1</v>
      </c>
      <c r="H165">
        <v>641.39</v>
      </c>
      <c r="I165" t="s">
        <v>684</v>
      </c>
      <c r="J165" t="s">
        <v>32</v>
      </c>
      <c r="K165" t="s">
        <v>40</v>
      </c>
      <c r="L165" t="s">
        <v>685</v>
      </c>
      <c r="M165">
        <v>1</v>
      </c>
      <c r="O165" t="s">
        <v>34</v>
      </c>
      <c r="P165">
        <v>641.39</v>
      </c>
      <c r="Q165">
        <v>641.39</v>
      </c>
      <c r="R165" t="str">
        <f>IF(OR(P165&lt;Outliers!$B$5, P165&gt;Outliers!$B$6), "outliers", "")</f>
        <v/>
      </c>
    </row>
    <row r="166" spans="1:18" x14ac:dyDescent="0.25">
      <c r="A166" t="s">
        <v>686</v>
      </c>
      <c r="B166" s="1">
        <v>45288</v>
      </c>
      <c r="C166">
        <v>2023</v>
      </c>
      <c r="D166" t="s">
        <v>45</v>
      </c>
      <c r="E166" t="s">
        <v>687</v>
      </c>
      <c r="F166" t="s">
        <v>80</v>
      </c>
      <c r="G166">
        <v>5</v>
      </c>
      <c r="H166">
        <v>536.58000000000004</v>
      </c>
      <c r="I166" t="s">
        <v>688</v>
      </c>
      <c r="J166" t="s">
        <v>67</v>
      </c>
      <c r="K166" t="s">
        <v>96</v>
      </c>
      <c r="L166" t="s">
        <v>689</v>
      </c>
      <c r="M166">
        <v>5</v>
      </c>
      <c r="N166" t="s">
        <v>25</v>
      </c>
      <c r="O166" t="s">
        <v>83</v>
      </c>
      <c r="P166">
        <v>2682.9</v>
      </c>
      <c r="Q166">
        <v>2682.9</v>
      </c>
      <c r="R166" t="str">
        <f>IF(OR(P166&lt;Outliers!$B$5, P166&gt;Outliers!$B$6), "outliers", "")</f>
        <v/>
      </c>
    </row>
    <row r="167" spans="1:18" x14ac:dyDescent="0.25">
      <c r="A167" t="s">
        <v>690</v>
      </c>
      <c r="B167" s="1">
        <v>45549</v>
      </c>
      <c r="C167">
        <v>2024</v>
      </c>
      <c r="D167" t="s">
        <v>28</v>
      </c>
      <c r="E167" t="s">
        <v>691</v>
      </c>
      <c r="F167" t="s">
        <v>20</v>
      </c>
      <c r="G167">
        <v>2</v>
      </c>
      <c r="H167">
        <v>500.29</v>
      </c>
      <c r="I167" t="s">
        <v>692</v>
      </c>
      <c r="J167" t="s">
        <v>32</v>
      </c>
      <c r="K167" t="s">
        <v>49</v>
      </c>
      <c r="L167" t="s">
        <v>693</v>
      </c>
      <c r="M167">
        <v>7</v>
      </c>
      <c r="N167" t="s">
        <v>88</v>
      </c>
      <c r="O167" t="s">
        <v>83</v>
      </c>
      <c r="P167">
        <v>1000.58</v>
      </c>
      <c r="Q167">
        <v>1000.58</v>
      </c>
      <c r="R167" t="str">
        <f>IF(OR(P167&lt;Outliers!$B$5, P167&gt;Outliers!$B$6), "outliers", "")</f>
        <v/>
      </c>
    </row>
    <row r="168" spans="1:18" x14ac:dyDescent="0.25">
      <c r="A168" t="s">
        <v>694</v>
      </c>
      <c r="B168" s="1">
        <v>45720</v>
      </c>
      <c r="C168">
        <v>2025</v>
      </c>
      <c r="D168" t="s">
        <v>18</v>
      </c>
      <c r="E168" t="s">
        <v>695</v>
      </c>
      <c r="F168" t="s">
        <v>47</v>
      </c>
      <c r="G168">
        <v>3</v>
      </c>
      <c r="H168">
        <v>86.29</v>
      </c>
      <c r="I168" t="s">
        <v>264</v>
      </c>
      <c r="J168" t="s">
        <v>72</v>
      </c>
      <c r="K168" t="s">
        <v>57</v>
      </c>
      <c r="L168" t="s">
        <v>696</v>
      </c>
      <c r="M168">
        <v>6</v>
      </c>
      <c r="N168" t="s">
        <v>88</v>
      </c>
      <c r="O168" t="s">
        <v>26</v>
      </c>
      <c r="P168">
        <v>258.87</v>
      </c>
      <c r="Q168">
        <v>258.87</v>
      </c>
      <c r="R168" t="str">
        <f>IF(OR(P168&lt;Outliers!$B$5, P168&gt;Outliers!$B$6), "outliers", "")</f>
        <v/>
      </c>
    </row>
    <row r="169" spans="1:18" x14ac:dyDescent="0.25">
      <c r="A169" t="s">
        <v>697</v>
      </c>
      <c r="B169" s="1">
        <v>45073</v>
      </c>
      <c r="C169">
        <v>2023</v>
      </c>
      <c r="D169" t="s">
        <v>53</v>
      </c>
      <c r="E169" t="s">
        <v>698</v>
      </c>
      <c r="F169" t="s">
        <v>47</v>
      </c>
      <c r="G169">
        <v>2</v>
      </c>
      <c r="H169">
        <v>384.14</v>
      </c>
      <c r="I169" t="s">
        <v>699</v>
      </c>
      <c r="J169" t="s">
        <v>32</v>
      </c>
      <c r="K169" t="s">
        <v>49</v>
      </c>
      <c r="L169" t="s">
        <v>700</v>
      </c>
      <c r="M169">
        <v>2</v>
      </c>
      <c r="N169" t="s">
        <v>88</v>
      </c>
      <c r="O169" t="s">
        <v>43</v>
      </c>
      <c r="P169">
        <v>768.28</v>
      </c>
      <c r="Q169">
        <v>768.28</v>
      </c>
      <c r="R169" t="str">
        <f>IF(OR(P169&lt;Outliers!$B$5, P169&gt;Outliers!$B$6), "outliers", "")</f>
        <v/>
      </c>
    </row>
    <row r="170" spans="1:18" x14ac:dyDescent="0.25">
      <c r="A170" t="s">
        <v>701</v>
      </c>
      <c r="B170" s="1">
        <v>45661</v>
      </c>
      <c r="C170">
        <v>2025</v>
      </c>
      <c r="D170" t="s">
        <v>18</v>
      </c>
      <c r="E170" t="s">
        <v>702</v>
      </c>
      <c r="F170" t="s">
        <v>55</v>
      </c>
      <c r="G170">
        <v>1</v>
      </c>
      <c r="H170">
        <v>594.96</v>
      </c>
      <c r="I170" t="s">
        <v>703</v>
      </c>
      <c r="J170" t="s">
        <v>72</v>
      </c>
      <c r="K170" t="s">
        <v>49</v>
      </c>
      <c r="L170" t="s">
        <v>704</v>
      </c>
      <c r="M170">
        <v>6</v>
      </c>
      <c r="O170" t="s">
        <v>51</v>
      </c>
      <c r="P170">
        <v>594.96</v>
      </c>
      <c r="Q170">
        <v>594.96</v>
      </c>
      <c r="R170" t="str">
        <f>IF(OR(P170&lt;Outliers!$B$5, P170&gt;Outliers!$B$6), "outliers", "")</f>
        <v/>
      </c>
    </row>
    <row r="171" spans="1:18" x14ac:dyDescent="0.25">
      <c r="A171" t="s">
        <v>705</v>
      </c>
      <c r="B171" s="1">
        <v>45389</v>
      </c>
      <c r="C171">
        <v>2024</v>
      </c>
      <c r="D171" t="s">
        <v>53</v>
      </c>
      <c r="E171" t="s">
        <v>706</v>
      </c>
      <c r="F171" t="s">
        <v>55</v>
      </c>
      <c r="G171">
        <v>1</v>
      </c>
      <c r="H171">
        <v>427.82</v>
      </c>
      <c r="I171" t="s">
        <v>707</v>
      </c>
      <c r="J171" t="s">
        <v>32</v>
      </c>
      <c r="K171" t="s">
        <v>57</v>
      </c>
      <c r="L171" t="s">
        <v>708</v>
      </c>
      <c r="M171">
        <v>2</v>
      </c>
      <c r="N171" t="s">
        <v>88</v>
      </c>
      <c r="O171" t="s">
        <v>43</v>
      </c>
      <c r="P171">
        <v>427.82</v>
      </c>
      <c r="Q171">
        <v>427.82</v>
      </c>
      <c r="R171" t="str">
        <f>IF(OR(P171&lt;Outliers!$B$5, P171&gt;Outliers!$B$6), "outliers", "")</f>
        <v/>
      </c>
    </row>
    <row r="172" spans="1:18" x14ac:dyDescent="0.25">
      <c r="A172" t="s">
        <v>709</v>
      </c>
      <c r="B172" s="1">
        <v>45751</v>
      </c>
      <c r="C172">
        <v>2025</v>
      </c>
      <c r="D172" t="s">
        <v>53</v>
      </c>
      <c r="E172" t="s">
        <v>710</v>
      </c>
      <c r="F172" t="s">
        <v>80</v>
      </c>
      <c r="G172">
        <v>4</v>
      </c>
      <c r="H172">
        <v>662.94</v>
      </c>
      <c r="I172" t="s">
        <v>711</v>
      </c>
      <c r="J172" t="s">
        <v>72</v>
      </c>
      <c r="K172" t="s">
        <v>40</v>
      </c>
      <c r="L172" t="s">
        <v>712</v>
      </c>
      <c r="M172">
        <v>8</v>
      </c>
      <c r="N172" t="s">
        <v>25</v>
      </c>
      <c r="O172" t="s">
        <v>26</v>
      </c>
      <c r="P172">
        <v>2651.76</v>
      </c>
      <c r="Q172">
        <v>2651.76</v>
      </c>
      <c r="R172" t="str">
        <f>IF(OR(P172&lt;Outliers!$B$5, P172&gt;Outliers!$B$6), "outliers", "")</f>
        <v/>
      </c>
    </row>
    <row r="173" spans="1:18" x14ac:dyDescent="0.25">
      <c r="A173" t="s">
        <v>713</v>
      </c>
      <c r="B173" s="1">
        <v>45153</v>
      </c>
      <c r="C173">
        <v>2023</v>
      </c>
      <c r="D173" t="s">
        <v>28</v>
      </c>
      <c r="E173" t="s">
        <v>714</v>
      </c>
      <c r="F173" t="s">
        <v>37</v>
      </c>
      <c r="G173">
        <v>2</v>
      </c>
      <c r="H173">
        <v>148.22</v>
      </c>
      <c r="I173" t="s">
        <v>715</v>
      </c>
      <c r="J173" t="s">
        <v>39</v>
      </c>
      <c r="K173" t="s">
        <v>57</v>
      </c>
      <c r="L173" t="s">
        <v>716</v>
      </c>
      <c r="M173">
        <v>7</v>
      </c>
      <c r="N173" t="s">
        <v>88</v>
      </c>
      <c r="O173" t="s">
        <v>26</v>
      </c>
      <c r="P173">
        <v>296.44</v>
      </c>
      <c r="Q173">
        <v>296.44</v>
      </c>
      <c r="R173" t="str">
        <f>IF(OR(P173&lt;Outliers!$B$5, P173&gt;Outliers!$B$6), "outliers", "")</f>
        <v/>
      </c>
    </row>
    <row r="174" spans="1:18" x14ac:dyDescent="0.25">
      <c r="A174" t="s">
        <v>717</v>
      </c>
      <c r="B174" s="1">
        <v>45753</v>
      </c>
      <c r="C174">
        <v>2025</v>
      </c>
      <c r="D174" t="s">
        <v>53</v>
      </c>
      <c r="E174" t="s">
        <v>718</v>
      </c>
      <c r="F174" t="s">
        <v>55</v>
      </c>
      <c r="G174">
        <v>1</v>
      </c>
      <c r="H174">
        <v>254.12</v>
      </c>
      <c r="I174" t="s">
        <v>548</v>
      </c>
      <c r="J174" t="s">
        <v>32</v>
      </c>
      <c r="K174" t="s">
        <v>57</v>
      </c>
      <c r="L174" t="s">
        <v>719</v>
      </c>
      <c r="M174">
        <v>1</v>
      </c>
      <c r="N174" t="s">
        <v>88</v>
      </c>
      <c r="O174" t="s">
        <v>43</v>
      </c>
      <c r="P174">
        <v>254.12</v>
      </c>
      <c r="Q174">
        <v>254.12</v>
      </c>
      <c r="R174" t="str">
        <f>IF(OR(P174&lt;Outliers!$B$5, P174&gt;Outliers!$B$6), "outliers", "")</f>
        <v/>
      </c>
    </row>
    <row r="175" spans="1:18" x14ac:dyDescent="0.25">
      <c r="A175" t="s">
        <v>720</v>
      </c>
      <c r="B175" s="1">
        <v>45375</v>
      </c>
      <c r="C175">
        <v>2024</v>
      </c>
      <c r="D175" t="s">
        <v>18</v>
      </c>
      <c r="E175" t="s">
        <v>721</v>
      </c>
      <c r="F175" t="s">
        <v>30</v>
      </c>
      <c r="G175">
        <v>3</v>
      </c>
      <c r="H175">
        <v>664.46</v>
      </c>
      <c r="I175" t="s">
        <v>722</v>
      </c>
      <c r="J175" t="s">
        <v>32</v>
      </c>
      <c r="K175" t="s">
        <v>57</v>
      </c>
      <c r="L175" t="s">
        <v>723</v>
      </c>
      <c r="M175">
        <v>4</v>
      </c>
      <c r="N175" t="s">
        <v>42</v>
      </c>
      <c r="O175" t="s">
        <v>83</v>
      </c>
      <c r="P175">
        <v>1993.38</v>
      </c>
      <c r="Q175">
        <v>1993.38</v>
      </c>
      <c r="R175" t="str">
        <f>IF(OR(P175&lt;Outliers!$B$5, P175&gt;Outliers!$B$6), "outliers", "")</f>
        <v/>
      </c>
    </row>
    <row r="176" spans="1:18" x14ac:dyDescent="0.25">
      <c r="A176" t="s">
        <v>724</v>
      </c>
      <c r="B176" s="1">
        <v>45398</v>
      </c>
      <c r="C176">
        <v>2024</v>
      </c>
      <c r="D176" t="s">
        <v>53</v>
      </c>
      <c r="E176" t="s">
        <v>725</v>
      </c>
      <c r="F176" t="s">
        <v>55</v>
      </c>
      <c r="G176">
        <v>4</v>
      </c>
      <c r="H176">
        <v>600.80999999999995</v>
      </c>
      <c r="I176" t="s">
        <v>726</v>
      </c>
      <c r="J176" t="s">
        <v>22</v>
      </c>
      <c r="K176" t="s">
        <v>57</v>
      </c>
      <c r="L176" t="s">
        <v>727</v>
      </c>
      <c r="M176">
        <v>9</v>
      </c>
      <c r="N176" t="s">
        <v>25</v>
      </c>
      <c r="O176" t="s">
        <v>43</v>
      </c>
      <c r="P176">
        <v>2403.2399999999998</v>
      </c>
      <c r="Q176">
        <v>2403.2399999999998</v>
      </c>
      <c r="R176" t="str">
        <f>IF(OR(P176&lt;Outliers!$B$5, P176&gt;Outliers!$B$6), "outliers", "")</f>
        <v/>
      </c>
    </row>
    <row r="177" spans="1:18" x14ac:dyDescent="0.25">
      <c r="A177" t="s">
        <v>728</v>
      </c>
      <c r="B177" s="1">
        <v>45696</v>
      </c>
      <c r="C177">
        <v>2025</v>
      </c>
      <c r="D177" t="s">
        <v>18</v>
      </c>
      <c r="E177" t="s">
        <v>729</v>
      </c>
      <c r="F177" t="s">
        <v>47</v>
      </c>
      <c r="G177">
        <v>5</v>
      </c>
      <c r="H177">
        <v>68.34</v>
      </c>
      <c r="I177" t="s">
        <v>730</v>
      </c>
      <c r="J177" t="s">
        <v>22</v>
      </c>
      <c r="K177" t="s">
        <v>96</v>
      </c>
      <c r="L177" t="s">
        <v>731</v>
      </c>
      <c r="M177">
        <v>6</v>
      </c>
      <c r="N177" t="s">
        <v>88</v>
      </c>
      <c r="O177" t="s">
        <v>34</v>
      </c>
      <c r="P177">
        <v>341.7</v>
      </c>
      <c r="Q177">
        <v>341.7</v>
      </c>
      <c r="R177" t="str">
        <f>IF(OR(P177&lt;Outliers!$B$5, P177&gt;Outliers!$B$6), "outliers", "")</f>
        <v/>
      </c>
    </row>
    <row r="178" spans="1:18" x14ac:dyDescent="0.25">
      <c r="A178" t="s">
        <v>732</v>
      </c>
      <c r="B178" s="1">
        <v>45836</v>
      </c>
      <c r="C178">
        <v>2025</v>
      </c>
      <c r="D178" t="s">
        <v>53</v>
      </c>
      <c r="E178" t="s">
        <v>733</v>
      </c>
      <c r="F178" t="s">
        <v>37</v>
      </c>
      <c r="G178">
        <v>4</v>
      </c>
      <c r="H178">
        <v>430.83</v>
      </c>
      <c r="I178" t="s">
        <v>734</v>
      </c>
      <c r="J178" t="s">
        <v>67</v>
      </c>
      <c r="K178" t="s">
        <v>96</v>
      </c>
      <c r="L178" t="s">
        <v>735</v>
      </c>
      <c r="M178">
        <v>8</v>
      </c>
      <c r="N178" t="s">
        <v>88</v>
      </c>
      <c r="O178" t="s">
        <v>34</v>
      </c>
      <c r="P178">
        <v>1723.32</v>
      </c>
      <c r="Q178">
        <v>1723.32</v>
      </c>
      <c r="R178" t="str">
        <f>IF(OR(P178&lt;Outliers!$B$5, P178&gt;Outliers!$B$6), "outliers", "")</f>
        <v/>
      </c>
    </row>
    <row r="179" spans="1:18" x14ac:dyDescent="0.25">
      <c r="A179" t="s">
        <v>736</v>
      </c>
      <c r="B179" s="1">
        <v>45143</v>
      </c>
      <c r="C179">
        <v>2023</v>
      </c>
      <c r="D179" t="s">
        <v>28</v>
      </c>
      <c r="E179" t="s">
        <v>737</v>
      </c>
      <c r="F179" t="s">
        <v>47</v>
      </c>
      <c r="G179">
        <v>5</v>
      </c>
      <c r="H179">
        <v>431.69</v>
      </c>
      <c r="I179" t="s">
        <v>738</v>
      </c>
      <c r="J179" t="s">
        <v>39</v>
      </c>
      <c r="K179" t="s">
        <v>96</v>
      </c>
      <c r="L179" t="s">
        <v>739</v>
      </c>
      <c r="M179">
        <v>10</v>
      </c>
      <c r="O179" t="s">
        <v>51</v>
      </c>
      <c r="P179">
        <v>2158.4499999999998</v>
      </c>
      <c r="Q179">
        <v>2158.4499999999998</v>
      </c>
      <c r="R179" t="str">
        <f>IF(OR(P179&lt;Outliers!$B$5, P179&gt;Outliers!$B$6), "outliers", "")</f>
        <v/>
      </c>
    </row>
    <row r="180" spans="1:18" x14ac:dyDescent="0.25">
      <c r="A180" t="s">
        <v>740</v>
      </c>
      <c r="B180" s="1">
        <v>45393</v>
      </c>
      <c r="C180">
        <v>2024</v>
      </c>
      <c r="D180" t="s">
        <v>53</v>
      </c>
      <c r="E180" t="s">
        <v>741</v>
      </c>
      <c r="F180" t="s">
        <v>47</v>
      </c>
      <c r="G180">
        <v>4</v>
      </c>
      <c r="H180">
        <v>512.05999999999995</v>
      </c>
      <c r="I180" t="s">
        <v>742</v>
      </c>
      <c r="J180" t="s">
        <v>32</v>
      </c>
      <c r="K180" t="s">
        <v>57</v>
      </c>
      <c r="L180" t="s">
        <v>743</v>
      </c>
      <c r="M180">
        <v>5</v>
      </c>
      <c r="N180" t="s">
        <v>25</v>
      </c>
      <c r="O180" t="s">
        <v>83</v>
      </c>
      <c r="P180">
        <v>2048.2399999999998</v>
      </c>
      <c r="Q180">
        <v>2048.2399999999998</v>
      </c>
      <c r="R180" t="str">
        <f>IF(OR(P180&lt;Outliers!$B$5, P180&gt;Outliers!$B$6), "outliers", "")</f>
        <v/>
      </c>
    </row>
    <row r="181" spans="1:18" x14ac:dyDescent="0.25">
      <c r="A181" t="s">
        <v>744</v>
      </c>
      <c r="B181" s="1">
        <v>45620</v>
      </c>
      <c r="C181">
        <v>2024</v>
      </c>
      <c r="D181" t="s">
        <v>45</v>
      </c>
      <c r="E181" t="s">
        <v>745</v>
      </c>
      <c r="F181" t="s">
        <v>65</v>
      </c>
      <c r="G181">
        <v>3</v>
      </c>
      <c r="H181">
        <v>539.91</v>
      </c>
      <c r="I181" t="s">
        <v>746</v>
      </c>
      <c r="J181" t="s">
        <v>39</v>
      </c>
      <c r="K181" t="s">
        <v>57</v>
      </c>
      <c r="L181" t="s">
        <v>747</v>
      </c>
      <c r="M181">
        <v>8</v>
      </c>
      <c r="O181" t="s">
        <v>43</v>
      </c>
      <c r="P181">
        <v>1619.73</v>
      </c>
      <c r="Q181">
        <v>1619.73</v>
      </c>
      <c r="R181" t="str">
        <f>IF(OR(P181&lt;Outliers!$B$5, P181&gt;Outliers!$B$6), "outliers", "")</f>
        <v/>
      </c>
    </row>
    <row r="182" spans="1:18" x14ac:dyDescent="0.25">
      <c r="A182" t="s">
        <v>748</v>
      </c>
      <c r="B182" s="1">
        <v>45003</v>
      </c>
      <c r="C182">
        <v>2023</v>
      </c>
      <c r="D182" t="s">
        <v>18</v>
      </c>
      <c r="E182" t="s">
        <v>749</v>
      </c>
      <c r="F182" t="s">
        <v>37</v>
      </c>
      <c r="G182">
        <v>5</v>
      </c>
      <c r="H182">
        <v>316.07</v>
      </c>
      <c r="I182" t="s">
        <v>750</v>
      </c>
      <c r="J182" t="s">
        <v>72</v>
      </c>
      <c r="K182" t="s">
        <v>49</v>
      </c>
      <c r="L182" t="s">
        <v>751</v>
      </c>
      <c r="M182">
        <v>10</v>
      </c>
      <c r="O182" t="s">
        <v>83</v>
      </c>
      <c r="P182">
        <v>1580.35</v>
      </c>
      <c r="Q182">
        <v>1580.35</v>
      </c>
      <c r="R182" t="str">
        <f>IF(OR(P182&lt;Outliers!$B$5, P182&gt;Outliers!$B$6), "outliers", "")</f>
        <v/>
      </c>
    </row>
    <row r="183" spans="1:18" x14ac:dyDescent="0.25">
      <c r="A183" t="s">
        <v>752</v>
      </c>
      <c r="B183" s="1">
        <v>45535</v>
      </c>
      <c r="C183">
        <v>2024</v>
      </c>
      <c r="D183" t="s">
        <v>28</v>
      </c>
      <c r="E183" t="s">
        <v>753</v>
      </c>
      <c r="F183" t="s">
        <v>55</v>
      </c>
      <c r="G183">
        <v>5</v>
      </c>
      <c r="H183">
        <v>404.39</v>
      </c>
      <c r="I183" t="s">
        <v>754</v>
      </c>
      <c r="J183" t="s">
        <v>32</v>
      </c>
      <c r="K183" t="s">
        <v>23</v>
      </c>
      <c r="L183" t="s">
        <v>755</v>
      </c>
      <c r="M183">
        <v>10</v>
      </c>
      <c r="O183" t="s">
        <v>34</v>
      </c>
      <c r="P183">
        <v>2021.95</v>
      </c>
      <c r="Q183">
        <v>2021.95</v>
      </c>
      <c r="R183" t="str">
        <f>IF(OR(P183&lt;Outliers!$B$5, P183&gt;Outliers!$B$6), "outliers", "")</f>
        <v/>
      </c>
    </row>
    <row r="184" spans="1:18" x14ac:dyDescent="0.25">
      <c r="A184" t="s">
        <v>756</v>
      </c>
      <c r="B184" s="1">
        <v>45735</v>
      </c>
      <c r="C184">
        <v>2025</v>
      </c>
      <c r="D184" t="s">
        <v>18</v>
      </c>
      <c r="E184" t="s">
        <v>757</v>
      </c>
      <c r="F184" t="s">
        <v>80</v>
      </c>
      <c r="G184">
        <v>1</v>
      </c>
      <c r="H184">
        <v>600.54</v>
      </c>
      <c r="I184" t="s">
        <v>758</v>
      </c>
      <c r="J184" t="s">
        <v>22</v>
      </c>
      <c r="K184" t="s">
        <v>96</v>
      </c>
      <c r="L184" t="s">
        <v>759</v>
      </c>
      <c r="M184">
        <v>4</v>
      </c>
      <c r="N184" t="s">
        <v>88</v>
      </c>
      <c r="O184" t="s">
        <v>83</v>
      </c>
      <c r="P184">
        <v>600.54</v>
      </c>
      <c r="Q184">
        <v>600.54</v>
      </c>
      <c r="R184" t="str">
        <f>IF(OR(P184&lt;Outliers!$B$5, P184&gt;Outliers!$B$6), "outliers", "")</f>
        <v/>
      </c>
    </row>
    <row r="185" spans="1:18" x14ac:dyDescent="0.25">
      <c r="A185" t="s">
        <v>760</v>
      </c>
      <c r="B185" s="1">
        <v>45400</v>
      </c>
      <c r="C185">
        <v>2024</v>
      </c>
      <c r="D185" t="s">
        <v>53</v>
      </c>
      <c r="E185" t="s">
        <v>761</v>
      </c>
      <c r="F185" t="s">
        <v>20</v>
      </c>
      <c r="G185">
        <v>5</v>
      </c>
      <c r="H185">
        <v>186.28</v>
      </c>
      <c r="I185" t="s">
        <v>762</v>
      </c>
      <c r="J185" t="s">
        <v>22</v>
      </c>
      <c r="K185" t="s">
        <v>57</v>
      </c>
      <c r="L185" t="s">
        <v>763</v>
      </c>
      <c r="M185">
        <v>8</v>
      </c>
      <c r="N185" t="s">
        <v>25</v>
      </c>
      <c r="O185" t="s">
        <v>43</v>
      </c>
      <c r="P185">
        <v>931.4</v>
      </c>
      <c r="Q185">
        <v>931.4</v>
      </c>
      <c r="R185" t="str">
        <f>IF(OR(P185&lt;Outliers!$B$5, P185&gt;Outliers!$B$6), "outliers", "")</f>
        <v/>
      </c>
    </row>
    <row r="186" spans="1:18" x14ac:dyDescent="0.25">
      <c r="A186" t="s">
        <v>764</v>
      </c>
      <c r="B186" s="1">
        <v>45386</v>
      </c>
      <c r="C186">
        <v>2024</v>
      </c>
      <c r="D186" t="s">
        <v>53</v>
      </c>
      <c r="E186" t="s">
        <v>765</v>
      </c>
      <c r="F186" t="s">
        <v>37</v>
      </c>
      <c r="G186">
        <v>4</v>
      </c>
      <c r="H186">
        <v>214.54</v>
      </c>
      <c r="I186" t="s">
        <v>766</v>
      </c>
      <c r="J186" t="s">
        <v>67</v>
      </c>
      <c r="K186" t="s">
        <v>40</v>
      </c>
      <c r="L186" t="s">
        <v>767</v>
      </c>
      <c r="M186">
        <v>7</v>
      </c>
      <c r="O186" t="s">
        <v>34</v>
      </c>
      <c r="P186">
        <v>858.16</v>
      </c>
      <c r="Q186">
        <v>858.16</v>
      </c>
      <c r="R186" t="str">
        <f>IF(OR(P186&lt;Outliers!$B$5, P186&gt;Outliers!$B$6), "outliers", "")</f>
        <v/>
      </c>
    </row>
    <row r="187" spans="1:18" x14ac:dyDescent="0.25">
      <c r="A187" t="s">
        <v>768</v>
      </c>
      <c r="B187" s="1">
        <v>45690</v>
      </c>
      <c r="C187">
        <v>2025</v>
      </c>
      <c r="D187" t="s">
        <v>18</v>
      </c>
      <c r="E187" t="s">
        <v>769</v>
      </c>
      <c r="F187" t="s">
        <v>65</v>
      </c>
      <c r="G187">
        <v>1</v>
      </c>
      <c r="H187">
        <v>210.7</v>
      </c>
      <c r="I187" t="s">
        <v>770</v>
      </c>
      <c r="J187" t="s">
        <v>32</v>
      </c>
      <c r="K187" t="s">
        <v>23</v>
      </c>
      <c r="L187" t="s">
        <v>771</v>
      </c>
      <c r="M187">
        <v>2</v>
      </c>
      <c r="N187" t="s">
        <v>88</v>
      </c>
      <c r="O187" t="s">
        <v>34</v>
      </c>
      <c r="P187">
        <v>210.7</v>
      </c>
      <c r="Q187">
        <v>210.7</v>
      </c>
      <c r="R187" t="str">
        <f>IF(OR(P187&lt;Outliers!$B$5, P187&gt;Outliers!$B$6), "outliers", "")</f>
        <v/>
      </c>
    </row>
    <row r="188" spans="1:18" x14ac:dyDescent="0.25">
      <c r="A188" t="s">
        <v>772</v>
      </c>
      <c r="B188" s="1">
        <v>45267</v>
      </c>
      <c r="C188">
        <v>2023</v>
      </c>
      <c r="D188" t="s">
        <v>45</v>
      </c>
      <c r="E188" t="s">
        <v>773</v>
      </c>
      <c r="F188" t="s">
        <v>30</v>
      </c>
      <c r="G188">
        <v>2</v>
      </c>
      <c r="H188">
        <v>133.55000000000001</v>
      </c>
      <c r="I188" t="s">
        <v>774</v>
      </c>
      <c r="J188" t="s">
        <v>72</v>
      </c>
      <c r="K188" t="s">
        <v>96</v>
      </c>
      <c r="L188" t="s">
        <v>775</v>
      </c>
      <c r="M188">
        <v>7</v>
      </c>
      <c r="N188" t="s">
        <v>42</v>
      </c>
      <c r="O188" t="s">
        <v>51</v>
      </c>
      <c r="P188">
        <v>267.10000000000002</v>
      </c>
      <c r="Q188">
        <v>267.10000000000002</v>
      </c>
      <c r="R188" t="str">
        <f>IF(OR(P188&lt;Outliers!$B$5, P188&gt;Outliers!$B$6), "outliers", "")</f>
        <v/>
      </c>
    </row>
    <row r="189" spans="1:18" x14ac:dyDescent="0.25">
      <c r="A189" t="s">
        <v>776</v>
      </c>
      <c r="B189" s="1">
        <v>44965</v>
      </c>
      <c r="C189">
        <v>2023</v>
      </c>
      <c r="D189" t="s">
        <v>18</v>
      </c>
      <c r="E189" t="s">
        <v>777</v>
      </c>
      <c r="F189" t="s">
        <v>47</v>
      </c>
      <c r="G189">
        <v>1</v>
      </c>
      <c r="H189">
        <v>590.87</v>
      </c>
      <c r="I189" t="s">
        <v>778</v>
      </c>
      <c r="J189" t="s">
        <v>67</v>
      </c>
      <c r="K189" t="s">
        <v>49</v>
      </c>
      <c r="L189" t="s">
        <v>779</v>
      </c>
      <c r="M189">
        <v>6</v>
      </c>
      <c r="N189" t="s">
        <v>42</v>
      </c>
      <c r="O189" t="s">
        <v>34</v>
      </c>
      <c r="P189">
        <v>590.87</v>
      </c>
      <c r="Q189">
        <v>590.87</v>
      </c>
      <c r="R189" t="str">
        <f>IF(OR(P189&lt;Outliers!$B$5, P189&gt;Outliers!$B$6), "outliers", "")</f>
        <v/>
      </c>
    </row>
    <row r="190" spans="1:18" x14ac:dyDescent="0.25">
      <c r="A190" t="s">
        <v>780</v>
      </c>
      <c r="B190" s="1">
        <v>45731</v>
      </c>
      <c r="C190">
        <v>2025</v>
      </c>
      <c r="D190" t="s">
        <v>18</v>
      </c>
      <c r="E190" t="s">
        <v>781</v>
      </c>
      <c r="F190" t="s">
        <v>47</v>
      </c>
      <c r="G190">
        <v>2</v>
      </c>
      <c r="H190">
        <v>363.91</v>
      </c>
      <c r="I190" t="s">
        <v>782</v>
      </c>
      <c r="J190" t="s">
        <v>67</v>
      </c>
      <c r="K190" t="s">
        <v>23</v>
      </c>
      <c r="L190" t="s">
        <v>783</v>
      </c>
      <c r="M190">
        <v>2</v>
      </c>
      <c r="N190" t="s">
        <v>42</v>
      </c>
      <c r="O190" t="s">
        <v>34</v>
      </c>
      <c r="P190">
        <v>727.82</v>
      </c>
      <c r="Q190">
        <v>727.82</v>
      </c>
      <c r="R190" t="str">
        <f>IF(OR(P190&lt;Outliers!$B$5, P190&gt;Outliers!$B$6), "outliers", "")</f>
        <v/>
      </c>
    </row>
    <row r="191" spans="1:18" x14ac:dyDescent="0.25">
      <c r="A191" t="s">
        <v>784</v>
      </c>
      <c r="B191" s="1">
        <v>45112</v>
      </c>
      <c r="C191">
        <v>2023</v>
      </c>
      <c r="D191" t="s">
        <v>28</v>
      </c>
      <c r="E191" t="s">
        <v>785</v>
      </c>
      <c r="F191" t="s">
        <v>55</v>
      </c>
      <c r="G191">
        <v>5</v>
      </c>
      <c r="H191">
        <v>429.45</v>
      </c>
      <c r="I191" t="s">
        <v>786</v>
      </c>
      <c r="J191" t="s">
        <v>67</v>
      </c>
      <c r="K191" t="s">
        <v>40</v>
      </c>
      <c r="L191" t="s">
        <v>787</v>
      </c>
      <c r="M191">
        <v>5</v>
      </c>
      <c r="N191" t="s">
        <v>88</v>
      </c>
      <c r="O191" t="s">
        <v>43</v>
      </c>
      <c r="P191">
        <v>2147.25</v>
      </c>
      <c r="Q191">
        <v>2147.25</v>
      </c>
      <c r="R191" t="str">
        <f>IF(OR(P191&lt;Outliers!$B$5, P191&gt;Outliers!$B$6), "outliers", "")</f>
        <v/>
      </c>
    </row>
    <row r="192" spans="1:18" x14ac:dyDescent="0.25">
      <c r="A192" t="s">
        <v>788</v>
      </c>
      <c r="B192" s="1">
        <v>45535</v>
      </c>
      <c r="C192">
        <v>2024</v>
      </c>
      <c r="D192" t="s">
        <v>28</v>
      </c>
      <c r="E192" t="s">
        <v>789</v>
      </c>
      <c r="F192" t="s">
        <v>55</v>
      </c>
      <c r="G192">
        <v>3</v>
      </c>
      <c r="H192">
        <v>223.7</v>
      </c>
      <c r="I192" t="s">
        <v>790</v>
      </c>
      <c r="J192" t="s">
        <v>72</v>
      </c>
      <c r="K192" t="s">
        <v>49</v>
      </c>
      <c r="L192" t="s">
        <v>791</v>
      </c>
      <c r="M192">
        <v>3</v>
      </c>
      <c r="N192" t="s">
        <v>25</v>
      </c>
      <c r="O192" t="s">
        <v>43</v>
      </c>
      <c r="P192">
        <v>671.1</v>
      </c>
      <c r="Q192">
        <v>671.1</v>
      </c>
      <c r="R192" t="str">
        <f>IF(OR(P192&lt;Outliers!$B$5, P192&gt;Outliers!$B$6), "outliers", "")</f>
        <v/>
      </c>
    </row>
    <row r="193" spans="1:18" x14ac:dyDescent="0.25">
      <c r="A193" t="s">
        <v>792</v>
      </c>
      <c r="B193" s="1">
        <v>45724</v>
      </c>
      <c r="C193">
        <v>2025</v>
      </c>
      <c r="D193" t="s">
        <v>18</v>
      </c>
      <c r="E193" t="s">
        <v>793</v>
      </c>
      <c r="F193" t="s">
        <v>65</v>
      </c>
      <c r="G193">
        <v>2</v>
      </c>
      <c r="H193">
        <v>488.87</v>
      </c>
      <c r="I193" t="s">
        <v>794</v>
      </c>
      <c r="J193" t="s">
        <v>32</v>
      </c>
      <c r="K193" t="s">
        <v>40</v>
      </c>
      <c r="L193" t="s">
        <v>795</v>
      </c>
      <c r="M193">
        <v>4</v>
      </c>
      <c r="N193" t="s">
        <v>42</v>
      </c>
      <c r="O193" t="s">
        <v>83</v>
      </c>
      <c r="P193">
        <v>977.74</v>
      </c>
      <c r="Q193">
        <v>977.74</v>
      </c>
      <c r="R193" t="str">
        <f>IF(OR(P193&lt;Outliers!$B$5, P193&gt;Outliers!$B$6), "outliers", "")</f>
        <v/>
      </c>
    </row>
    <row r="194" spans="1:18" x14ac:dyDescent="0.25">
      <c r="A194" t="s">
        <v>796</v>
      </c>
      <c r="B194" s="1">
        <v>45149</v>
      </c>
      <c r="C194">
        <v>2023</v>
      </c>
      <c r="D194" t="s">
        <v>28</v>
      </c>
      <c r="E194" t="s">
        <v>797</v>
      </c>
      <c r="F194" t="s">
        <v>80</v>
      </c>
      <c r="G194">
        <v>1</v>
      </c>
      <c r="H194">
        <v>645.46</v>
      </c>
      <c r="I194" t="s">
        <v>602</v>
      </c>
      <c r="J194" t="s">
        <v>67</v>
      </c>
      <c r="K194" t="s">
        <v>40</v>
      </c>
      <c r="L194" t="s">
        <v>798</v>
      </c>
      <c r="M194">
        <v>5</v>
      </c>
      <c r="N194" t="s">
        <v>25</v>
      </c>
      <c r="O194" t="s">
        <v>83</v>
      </c>
      <c r="P194">
        <v>645.46</v>
      </c>
      <c r="Q194">
        <v>645.46</v>
      </c>
      <c r="R194" t="str">
        <f>IF(OR(P194&lt;Outliers!$B$5, P194&gt;Outliers!$B$6), "outliers", "")</f>
        <v/>
      </c>
    </row>
    <row r="195" spans="1:18" x14ac:dyDescent="0.25">
      <c r="A195" t="s">
        <v>799</v>
      </c>
      <c r="B195" s="1">
        <v>45128</v>
      </c>
      <c r="C195">
        <v>2023</v>
      </c>
      <c r="D195" t="s">
        <v>28</v>
      </c>
      <c r="E195" t="s">
        <v>800</v>
      </c>
      <c r="F195" t="s">
        <v>55</v>
      </c>
      <c r="G195">
        <v>1</v>
      </c>
      <c r="H195">
        <v>46.66</v>
      </c>
      <c r="I195" t="s">
        <v>801</v>
      </c>
      <c r="J195" t="s">
        <v>72</v>
      </c>
      <c r="K195" t="s">
        <v>40</v>
      </c>
      <c r="L195" t="s">
        <v>802</v>
      </c>
      <c r="M195">
        <v>6</v>
      </c>
      <c r="O195" t="s">
        <v>83</v>
      </c>
      <c r="P195">
        <v>46.66</v>
      </c>
      <c r="Q195">
        <v>46.66</v>
      </c>
      <c r="R195" t="str">
        <f>IF(OR(P195&lt;Outliers!$B$5, P195&gt;Outliers!$B$6), "outliers", "")</f>
        <v/>
      </c>
    </row>
    <row r="196" spans="1:18" x14ac:dyDescent="0.25">
      <c r="A196" t="s">
        <v>803</v>
      </c>
      <c r="B196" s="1">
        <v>45451</v>
      </c>
      <c r="C196">
        <v>2024</v>
      </c>
      <c r="D196" t="s">
        <v>53</v>
      </c>
      <c r="E196" t="s">
        <v>804</v>
      </c>
      <c r="F196" t="s">
        <v>20</v>
      </c>
      <c r="G196">
        <v>1</v>
      </c>
      <c r="H196">
        <v>249.57</v>
      </c>
      <c r="I196" t="s">
        <v>805</v>
      </c>
      <c r="J196" t="s">
        <v>72</v>
      </c>
      <c r="K196" t="s">
        <v>23</v>
      </c>
      <c r="L196" t="s">
        <v>806</v>
      </c>
      <c r="M196">
        <v>3</v>
      </c>
      <c r="N196" t="s">
        <v>42</v>
      </c>
      <c r="O196" t="s">
        <v>83</v>
      </c>
      <c r="P196">
        <v>249.57</v>
      </c>
      <c r="Q196">
        <v>249.57</v>
      </c>
      <c r="R196" t="str">
        <f>IF(OR(P196&lt;Outliers!$B$5, P196&gt;Outliers!$B$6), "outliers", "")</f>
        <v/>
      </c>
    </row>
    <row r="197" spans="1:18" x14ac:dyDescent="0.25">
      <c r="A197" t="s">
        <v>807</v>
      </c>
      <c r="B197" s="1">
        <v>45404</v>
      </c>
      <c r="C197">
        <v>2024</v>
      </c>
      <c r="D197" t="s">
        <v>53</v>
      </c>
      <c r="E197" t="s">
        <v>808</v>
      </c>
      <c r="F197" t="s">
        <v>47</v>
      </c>
      <c r="G197">
        <v>3</v>
      </c>
      <c r="H197">
        <v>619.21</v>
      </c>
      <c r="I197" t="s">
        <v>809</v>
      </c>
      <c r="J197" t="s">
        <v>22</v>
      </c>
      <c r="K197" t="s">
        <v>40</v>
      </c>
      <c r="L197" t="s">
        <v>810</v>
      </c>
      <c r="M197">
        <v>6</v>
      </c>
      <c r="O197" t="s">
        <v>43</v>
      </c>
      <c r="P197">
        <v>1857.63</v>
      </c>
      <c r="Q197">
        <v>1857.63</v>
      </c>
      <c r="R197" t="str">
        <f>IF(OR(P197&lt;Outliers!$B$5, P197&gt;Outliers!$B$6), "outliers", "")</f>
        <v/>
      </c>
    </row>
    <row r="198" spans="1:18" x14ac:dyDescent="0.25">
      <c r="A198" t="s">
        <v>811</v>
      </c>
      <c r="B198" s="1">
        <v>45681</v>
      </c>
      <c r="C198">
        <v>2025</v>
      </c>
      <c r="D198" t="s">
        <v>18</v>
      </c>
      <c r="E198" t="s">
        <v>812</v>
      </c>
      <c r="F198" t="s">
        <v>80</v>
      </c>
      <c r="G198">
        <v>4</v>
      </c>
      <c r="H198">
        <v>217.13</v>
      </c>
      <c r="I198" t="s">
        <v>813</v>
      </c>
      <c r="J198" t="s">
        <v>72</v>
      </c>
      <c r="K198" t="s">
        <v>57</v>
      </c>
      <c r="L198" t="s">
        <v>814</v>
      </c>
      <c r="M198">
        <v>8</v>
      </c>
      <c r="N198" t="s">
        <v>88</v>
      </c>
      <c r="O198" t="s">
        <v>43</v>
      </c>
      <c r="P198">
        <v>868.52</v>
      </c>
      <c r="Q198">
        <v>868.52</v>
      </c>
      <c r="R198" t="str">
        <f>IF(OR(P198&lt;Outliers!$B$5, P198&gt;Outliers!$B$6), "outliers", "")</f>
        <v/>
      </c>
    </row>
    <row r="199" spans="1:18" x14ac:dyDescent="0.25">
      <c r="A199" t="s">
        <v>815</v>
      </c>
      <c r="B199" s="1">
        <v>45165</v>
      </c>
      <c r="C199">
        <v>2023</v>
      </c>
      <c r="D199" t="s">
        <v>28</v>
      </c>
      <c r="E199" t="s">
        <v>816</v>
      </c>
      <c r="F199" t="s">
        <v>65</v>
      </c>
      <c r="G199">
        <v>5</v>
      </c>
      <c r="H199">
        <v>221.51</v>
      </c>
      <c r="I199" t="s">
        <v>817</v>
      </c>
      <c r="J199" t="s">
        <v>72</v>
      </c>
      <c r="K199" t="s">
        <v>49</v>
      </c>
      <c r="L199" t="s">
        <v>818</v>
      </c>
      <c r="M199">
        <v>5</v>
      </c>
      <c r="N199" t="s">
        <v>88</v>
      </c>
      <c r="O199" t="s">
        <v>34</v>
      </c>
      <c r="P199">
        <v>1107.55</v>
      </c>
      <c r="Q199">
        <v>1107.55</v>
      </c>
      <c r="R199" t="str">
        <f>IF(OR(P199&lt;Outliers!$B$5, P199&gt;Outliers!$B$6), "outliers", "")</f>
        <v/>
      </c>
    </row>
    <row r="200" spans="1:18" x14ac:dyDescent="0.25">
      <c r="A200" t="s">
        <v>819</v>
      </c>
      <c r="B200" s="1">
        <v>45454</v>
      </c>
      <c r="C200">
        <v>2024</v>
      </c>
      <c r="D200" t="s">
        <v>53</v>
      </c>
      <c r="E200" t="s">
        <v>820</v>
      </c>
      <c r="F200" t="s">
        <v>65</v>
      </c>
      <c r="G200">
        <v>4</v>
      </c>
      <c r="H200">
        <v>340.3</v>
      </c>
      <c r="I200" t="s">
        <v>184</v>
      </c>
      <c r="J200" t="s">
        <v>72</v>
      </c>
      <c r="K200" t="s">
        <v>40</v>
      </c>
      <c r="L200" t="s">
        <v>821</v>
      </c>
      <c r="M200">
        <v>8</v>
      </c>
      <c r="N200" t="s">
        <v>25</v>
      </c>
      <c r="O200" t="s">
        <v>34</v>
      </c>
      <c r="P200">
        <v>1361.2</v>
      </c>
      <c r="Q200">
        <v>1361.2</v>
      </c>
      <c r="R200" t="str">
        <f>IF(OR(P200&lt;Outliers!$B$5, P200&gt;Outliers!$B$6), "outliers", "")</f>
        <v/>
      </c>
    </row>
    <row r="201" spans="1:18" x14ac:dyDescent="0.25">
      <c r="A201" t="s">
        <v>822</v>
      </c>
      <c r="B201" s="1">
        <v>45680</v>
      </c>
      <c r="C201">
        <v>2025</v>
      </c>
      <c r="D201" t="s">
        <v>18</v>
      </c>
      <c r="E201" t="s">
        <v>823</v>
      </c>
      <c r="F201" t="s">
        <v>30</v>
      </c>
      <c r="G201">
        <v>1</v>
      </c>
      <c r="H201">
        <v>625</v>
      </c>
      <c r="I201" t="s">
        <v>824</v>
      </c>
      <c r="J201" t="s">
        <v>32</v>
      </c>
      <c r="K201" t="s">
        <v>49</v>
      </c>
      <c r="L201" t="s">
        <v>825</v>
      </c>
      <c r="M201">
        <v>5</v>
      </c>
      <c r="N201" t="s">
        <v>88</v>
      </c>
      <c r="O201" t="s">
        <v>83</v>
      </c>
      <c r="P201">
        <v>625</v>
      </c>
      <c r="Q201">
        <v>625</v>
      </c>
      <c r="R201" t="str">
        <f>IF(OR(P201&lt;Outliers!$B$5, P201&gt;Outliers!$B$6), "outliers", "")</f>
        <v/>
      </c>
    </row>
    <row r="202" spans="1:18" x14ac:dyDescent="0.25">
      <c r="A202" t="s">
        <v>826</v>
      </c>
      <c r="B202" s="1">
        <v>45815</v>
      </c>
      <c r="C202">
        <v>2025</v>
      </c>
      <c r="D202" t="s">
        <v>53</v>
      </c>
      <c r="E202" t="s">
        <v>827</v>
      </c>
      <c r="F202" t="s">
        <v>37</v>
      </c>
      <c r="G202">
        <v>5</v>
      </c>
      <c r="H202">
        <v>433.26</v>
      </c>
      <c r="I202" t="s">
        <v>168</v>
      </c>
      <c r="J202" t="s">
        <v>39</v>
      </c>
      <c r="K202" t="s">
        <v>57</v>
      </c>
      <c r="L202" t="s">
        <v>828</v>
      </c>
      <c r="M202">
        <v>9</v>
      </c>
      <c r="N202" t="s">
        <v>25</v>
      </c>
      <c r="O202" t="s">
        <v>83</v>
      </c>
      <c r="P202">
        <v>2166.3000000000002</v>
      </c>
      <c r="Q202">
        <v>2166.3000000000002</v>
      </c>
      <c r="R202" t="str">
        <f>IF(OR(P202&lt;Outliers!$B$5, P202&gt;Outliers!$B$6), "outliers", "")</f>
        <v/>
      </c>
    </row>
    <row r="203" spans="1:18" x14ac:dyDescent="0.25">
      <c r="A203" t="s">
        <v>829</v>
      </c>
      <c r="B203" s="1">
        <v>45095</v>
      </c>
      <c r="C203">
        <v>2023</v>
      </c>
      <c r="D203" t="s">
        <v>53</v>
      </c>
      <c r="E203" t="s">
        <v>830</v>
      </c>
      <c r="F203" t="s">
        <v>20</v>
      </c>
      <c r="G203">
        <v>2</v>
      </c>
      <c r="H203">
        <v>674.9</v>
      </c>
      <c r="I203" t="s">
        <v>354</v>
      </c>
      <c r="J203" t="s">
        <v>32</v>
      </c>
      <c r="K203" t="s">
        <v>23</v>
      </c>
      <c r="L203" t="s">
        <v>831</v>
      </c>
      <c r="M203">
        <v>4</v>
      </c>
      <c r="N203" t="s">
        <v>25</v>
      </c>
      <c r="O203" t="s">
        <v>51</v>
      </c>
      <c r="P203">
        <v>1349.8</v>
      </c>
      <c r="Q203">
        <v>1349.8</v>
      </c>
      <c r="R203" t="str">
        <f>IF(OR(P203&lt;Outliers!$B$5, P203&gt;Outliers!$B$6), "outliers", "")</f>
        <v/>
      </c>
    </row>
    <row r="204" spans="1:18" x14ac:dyDescent="0.25">
      <c r="A204" t="s">
        <v>832</v>
      </c>
      <c r="B204" s="1">
        <v>45694</v>
      </c>
      <c r="C204">
        <v>2025</v>
      </c>
      <c r="D204" t="s">
        <v>18</v>
      </c>
      <c r="E204" t="s">
        <v>833</v>
      </c>
      <c r="F204" t="s">
        <v>20</v>
      </c>
      <c r="G204">
        <v>3</v>
      </c>
      <c r="H204">
        <v>253.98</v>
      </c>
      <c r="I204" t="s">
        <v>572</v>
      </c>
      <c r="J204" t="s">
        <v>39</v>
      </c>
      <c r="K204" t="s">
        <v>40</v>
      </c>
      <c r="L204" t="s">
        <v>834</v>
      </c>
      <c r="M204">
        <v>3</v>
      </c>
      <c r="N204" t="s">
        <v>42</v>
      </c>
      <c r="O204" t="s">
        <v>43</v>
      </c>
      <c r="P204">
        <v>761.94</v>
      </c>
      <c r="Q204">
        <v>761.94</v>
      </c>
      <c r="R204" t="str">
        <f>IF(OR(P204&lt;Outliers!$B$5, P204&gt;Outliers!$B$6), "outliers", "")</f>
        <v/>
      </c>
    </row>
    <row r="205" spans="1:18" x14ac:dyDescent="0.25">
      <c r="A205" t="s">
        <v>835</v>
      </c>
      <c r="B205" s="1">
        <v>45678</v>
      </c>
      <c r="C205">
        <v>2025</v>
      </c>
      <c r="D205" t="s">
        <v>18</v>
      </c>
      <c r="E205" t="s">
        <v>836</v>
      </c>
      <c r="F205" t="s">
        <v>55</v>
      </c>
      <c r="G205">
        <v>3</v>
      </c>
      <c r="H205">
        <v>356.84</v>
      </c>
      <c r="I205" t="s">
        <v>837</v>
      </c>
      <c r="J205" t="s">
        <v>32</v>
      </c>
      <c r="K205" t="s">
        <v>23</v>
      </c>
      <c r="L205" t="s">
        <v>838</v>
      </c>
      <c r="M205">
        <v>5</v>
      </c>
      <c r="N205" t="s">
        <v>25</v>
      </c>
      <c r="O205" t="s">
        <v>26</v>
      </c>
      <c r="P205">
        <v>1070.52</v>
      </c>
      <c r="Q205">
        <v>1070.52</v>
      </c>
      <c r="R205" t="str">
        <f>IF(OR(P205&lt;Outliers!$B$5, P205&gt;Outliers!$B$6), "outliers", "")</f>
        <v/>
      </c>
    </row>
    <row r="206" spans="1:18" x14ac:dyDescent="0.25">
      <c r="A206" t="s">
        <v>839</v>
      </c>
      <c r="B206" s="1">
        <v>45174</v>
      </c>
      <c r="C206">
        <v>2023</v>
      </c>
      <c r="D206" t="s">
        <v>28</v>
      </c>
      <c r="E206" t="s">
        <v>840</v>
      </c>
      <c r="F206" t="s">
        <v>65</v>
      </c>
      <c r="G206">
        <v>4</v>
      </c>
      <c r="H206">
        <v>413.71</v>
      </c>
      <c r="I206" t="s">
        <v>591</v>
      </c>
      <c r="J206" t="s">
        <v>67</v>
      </c>
      <c r="K206" t="s">
        <v>40</v>
      </c>
      <c r="L206" t="s">
        <v>841</v>
      </c>
      <c r="M206">
        <v>9</v>
      </c>
      <c r="N206" t="s">
        <v>42</v>
      </c>
      <c r="O206" t="s">
        <v>51</v>
      </c>
      <c r="P206">
        <v>1654.84</v>
      </c>
      <c r="Q206">
        <v>1654.84</v>
      </c>
      <c r="R206" t="str">
        <f>IF(OR(P206&lt;Outliers!$B$5, P206&gt;Outliers!$B$6), "outliers", "")</f>
        <v/>
      </c>
    </row>
    <row r="207" spans="1:18" x14ac:dyDescent="0.25">
      <c r="A207" t="s">
        <v>842</v>
      </c>
      <c r="B207" s="1">
        <v>44989</v>
      </c>
      <c r="C207">
        <v>2023</v>
      </c>
      <c r="D207" t="s">
        <v>18</v>
      </c>
      <c r="E207" t="s">
        <v>843</v>
      </c>
      <c r="F207" t="s">
        <v>80</v>
      </c>
      <c r="G207">
        <v>3</v>
      </c>
      <c r="H207">
        <v>147.38999999999999</v>
      </c>
      <c r="I207" t="s">
        <v>844</v>
      </c>
      <c r="J207" t="s">
        <v>22</v>
      </c>
      <c r="K207" t="s">
        <v>49</v>
      </c>
      <c r="L207" t="s">
        <v>845</v>
      </c>
      <c r="M207">
        <v>3</v>
      </c>
      <c r="O207" t="s">
        <v>43</v>
      </c>
      <c r="P207">
        <v>442.17</v>
      </c>
      <c r="Q207">
        <v>442.17</v>
      </c>
      <c r="R207" t="str">
        <f>IF(OR(P207&lt;Outliers!$B$5, P207&gt;Outliers!$B$6), "outliers", "")</f>
        <v/>
      </c>
    </row>
    <row r="208" spans="1:18" x14ac:dyDescent="0.25">
      <c r="A208" t="s">
        <v>846</v>
      </c>
      <c r="B208" s="1">
        <v>45398</v>
      </c>
      <c r="C208">
        <v>2024</v>
      </c>
      <c r="D208" t="s">
        <v>53</v>
      </c>
      <c r="E208" t="s">
        <v>847</v>
      </c>
      <c r="F208" t="s">
        <v>65</v>
      </c>
      <c r="G208">
        <v>4</v>
      </c>
      <c r="H208">
        <v>229.1</v>
      </c>
      <c r="I208" t="s">
        <v>848</v>
      </c>
      <c r="J208" t="s">
        <v>67</v>
      </c>
      <c r="K208" t="s">
        <v>49</v>
      </c>
      <c r="L208" t="s">
        <v>849</v>
      </c>
      <c r="M208">
        <v>8</v>
      </c>
      <c r="N208" t="s">
        <v>88</v>
      </c>
      <c r="O208" t="s">
        <v>43</v>
      </c>
      <c r="P208">
        <v>916.4</v>
      </c>
      <c r="Q208">
        <v>916.4</v>
      </c>
      <c r="R208" t="str">
        <f>IF(OR(P208&lt;Outliers!$B$5, P208&gt;Outliers!$B$6), "outliers", "")</f>
        <v/>
      </c>
    </row>
    <row r="209" spans="1:18" x14ac:dyDescent="0.25">
      <c r="A209" t="s">
        <v>850</v>
      </c>
      <c r="B209" s="1">
        <v>45734</v>
      </c>
      <c r="C209">
        <v>2025</v>
      </c>
      <c r="D209" t="s">
        <v>18</v>
      </c>
      <c r="E209" t="s">
        <v>851</v>
      </c>
      <c r="F209" t="s">
        <v>30</v>
      </c>
      <c r="G209">
        <v>1</v>
      </c>
      <c r="H209">
        <v>121.96</v>
      </c>
      <c r="I209" t="s">
        <v>852</v>
      </c>
      <c r="J209" t="s">
        <v>22</v>
      </c>
      <c r="K209" t="s">
        <v>57</v>
      </c>
      <c r="L209" t="s">
        <v>853</v>
      </c>
      <c r="M209">
        <v>3</v>
      </c>
      <c r="O209" t="s">
        <v>83</v>
      </c>
      <c r="P209">
        <v>121.96</v>
      </c>
      <c r="Q209">
        <v>121.96</v>
      </c>
      <c r="R209" t="str">
        <f>IF(OR(P209&lt;Outliers!$B$5, P209&gt;Outliers!$B$6), "outliers", "")</f>
        <v/>
      </c>
    </row>
    <row r="210" spans="1:18" x14ac:dyDescent="0.25">
      <c r="A210" t="s">
        <v>854</v>
      </c>
      <c r="B210" s="1">
        <v>45573</v>
      </c>
      <c r="C210">
        <v>2024</v>
      </c>
      <c r="D210" t="s">
        <v>45</v>
      </c>
      <c r="E210" t="s">
        <v>855</v>
      </c>
      <c r="F210" t="s">
        <v>80</v>
      </c>
      <c r="G210">
        <v>2</v>
      </c>
      <c r="H210">
        <v>408.32</v>
      </c>
      <c r="I210" t="s">
        <v>786</v>
      </c>
      <c r="J210" t="s">
        <v>32</v>
      </c>
      <c r="K210" t="s">
        <v>23</v>
      </c>
      <c r="L210" t="s">
        <v>856</v>
      </c>
      <c r="M210">
        <v>3</v>
      </c>
      <c r="N210" t="s">
        <v>42</v>
      </c>
      <c r="O210" t="s">
        <v>51</v>
      </c>
      <c r="P210">
        <v>816.64</v>
      </c>
      <c r="Q210">
        <v>816.64</v>
      </c>
      <c r="R210" t="str">
        <f>IF(OR(P210&lt;Outliers!$B$5, P210&gt;Outliers!$B$6), "outliers", "")</f>
        <v/>
      </c>
    </row>
    <row r="211" spans="1:18" x14ac:dyDescent="0.25">
      <c r="A211" t="s">
        <v>857</v>
      </c>
      <c r="B211" s="1">
        <v>45167</v>
      </c>
      <c r="C211">
        <v>2023</v>
      </c>
      <c r="D211" t="s">
        <v>28</v>
      </c>
      <c r="E211" t="s">
        <v>858</v>
      </c>
      <c r="F211" t="s">
        <v>37</v>
      </c>
      <c r="G211">
        <v>5</v>
      </c>
      <c r="H211">
        <v>187.97</v>
      </c>
      <c r="I211" t="s">
        <v>71</v>
      </c>
      <c r="J211" t="s">
        <v>72</v>
      </c>
      <c r="K211" t="s">
        <v>49</v>
      </c>
      <c r="L211" t="s">
        <v>859</v>
      </c>
      <c r="M211">
        <v>9</v>
      </c>
      <c r="N211" t="s">
        <v>25</v>
      </c>
      <c r="O211" t="s">
        <v>83</v>
      </c>
      <c r="P211">
        <v>939.85</v>
      </c>
      <c r="Q211">
        <v>939.85</v>
      </c>
      <c r="R211" t="str">
        <f>IF(OR(P211&lt;Outliers!$B$5, P211&gt;Outliers!$B$6), "outliers", "")</f>
        <v/>
      </c>
    </row>
    <row r="212" spans="1:18" x14ac:dyDescent="0.25">
      <c r="A212" t="s">
        <v>860</v>
      </c>
      <c r="B212" s="1">
        <v>45631</v>
      </c>
      <c r="C212">
        <v>2024</v>
      </c>
      <c r="D212" t="s">
        <v>45</v>
      </c>
      <c r="E212" t="s">
        <v>861</v>
      </c>
      <c r="F212" t="s">
        <v>47</v>
      </c>
      <c r="G212">
        <v>3</v>
      </c>
      <c r="H212">
        <v>358.48</v>
      </c>
      <c r="I212" t="s">
        <v>560</v>
      </c>
      <c r="J212" t="s">
        <v>67</v>
      </c>
      <c r="K212" t="s">
        <v>57</v>
      </c>
      <c r="L212" t="s">
        <v>862</v>
      </c>
      <c r="M212">
        <v>7</v>
      </c>
      <c r="N212" t="s">
        <v>42</v>
      </c>
      <c r="O212" t="s">
        <v>51</v>
      </c>
      <c r="P212">
        <v>1075.44</v>
      </c>
      <c r="Q212">
        <v>1075.44</v>
      </c>
      <c r="R212" t="str">
        <f>IF(OR(P212&lt;Outliers!$B$5, P212&gt;Outliers!$B$6), "outliers", "")</f>
        <v/>
      </c>
    </row>
    <row r="213" spans="1:18" x14ac:dyDescent="0.25">
      <c r="A213" t="s">
        <v>863</v>
      </c>
      <c r="B213" s="1">
        <v>45660</v>
      </c>
      <c r="C213">
        <v>2025</v>
      </c>
      <c r="D213" t="s">
        <v>18</v>
      </c>
      <c r="E213" t="s">
        <v>864</v>
      </c>
      <c r="F213" t="s">
        <v>55</v>
      </c>
      <c r="G213">
        <v>3</v>
      </c>
      <c r="H213">
        <v>193.58</v>
      </c>
      <c r="I213" t="s">
        <v>865</v>
      </c>
      <c r="J213" t="s">
        <v>67</v>
      </c>
      <c r="K213" t="s">
        <v>96</v>
      </c>
      <c r="L213" t="s">
        <v>866</v>
      </c>
      <c r="M213">
        <v>7</v>
      </c>
      <c r="N213" t="s">
        <v>42</v>
      </c>
      <c r="O213" t="s">
        <v>43</v>
      </c>
      <c r="P213">
        <v>580.74</v>
      </c>
      <c r="Q213">
        <v>580.74</v>
      </c>
      <c r="R213" t="str">
        <f>IF(OR(P213&lt;Outliers!$B$5, P213&gt;Outliers!$B$6), "outliers", "")</f>
        <v/>
      </c>
    </row>
    <row r="214" spans="1:18" x14ac:dyDescent="0.25">
      <c r="A214" t="s">
        <v>867</v>
      </c>
      <c r="B214" s="1">
        <v>45097</v>
      </c>
      <c r="C214">
        <v>2023</v>
      </c>
      <c r="D214" t="s">
        <v>53</v>
      </c>
      <c r="E214" t="s">
        <v>868</v>
      </c>
      <c r="F214" t="s">
        <v>20</v>
      </c>
      <c r="G214">
        <v>1</v>
      </c>
      <c r="H214">
        <v>265.38</v>
      </c>
      <c r="I214" t="s">
        <v>869</v>
      </c>
      <c r="J214" t="s">
        <v>39</v>
      </c>
      <c r="K214" t="s">
        <v>40</v>
      </c>
      <c r="L214" t="s">
        <v>870</v>
      </c>
      <c r="M214">
        <v>6</v>
      </c>
      <c r="N214" t="s">
        <v>88</v>
      </c>
      <c r="O214" t="s">
        <v>43</v>
      </c>
      <c r="P214">
        <v>265.38</v>
      </c>
      <c r="Q214">
        <v>265.38</v>
      </c>
      <c r="R214" t="str">
        <f>IF(OR(P214&lt;Outliers!$B$5, P214&gt;Outliers!$B$6), "outliers", "")</f>
        <v/>
      </c>
    </row>
    <row r="215" spans="1:18" x14ac:dyDescent="0.25">
      <c r="A215" t="s">
        <v>871</v>
      </c>
      <c r="B215" s="1">
        <v>45036</v>
      </c>
      <c r="C215">
        <v>2023</v>
      </c>
      <c r="D215" t="s">
        <v>53</v>
      </c>
      <c r="E215" t="s">
        <v>872</v>
      </c>
      <c r="F215" t="s">
        <v>65</v>
      </c>
      <c r="G215">
        <v>1</v>
      </c>
      <c r="H215">
        <v>634.4</v>
      </c>
      <c r="I215" t="s">
        <v>873</v>
      </c>
      <c r="J215" t="s">
        <v>72</v>
      </c>
      <c r="K215" t="s">
        <v>40</v>
      </c>
      <c r="L215" t="s">
        <v>874</v>
      </c>
      <c r="M215">
        <v>6</v>
      </c>
      <c r="N215" t="s">
        <v>25</v>
      </c>
      <c r="O215" t="s">
        <v>43</v>
      </c>
      <c r="P215">
        <v>634.4</v>
      </c>
      <c r="Q215">
        <v>634.4</v>
      </c>
      <c r="R215" t="str">
        <f>IF(OR(P215&lt;Outliers!$B$5, P215&gt;Outliers!$B$6), "outliers", "")</f>
        <v/>
      </c>
    </row>
    <row r="216" spans="1:18" x14ac:dyDescent="0.25">
      <c r="A216" t="s">
        <v>875</v>
      </c>
      <c r="B216" s="1">
        <v>45525</v>
      </c>
      <c r="C216">
        <v>2024</v>
      </c>
      <c r="D216" t="s">
        <v>28</v>
      </c>
      <c r="E216" t="s">
        <v>876</v>
      </c>
      <c r="F216" t="s">
        <v>80</v>
      </c>
      <c r="G216">
        <v>4</v>
      </c>
      <c r="H216">
        <v>305.72000000000003</v>
      </c>
      <c r="I216" t="s">
        <v>524</v>
      </c>
      <c r="J216" t="s">
        <v>32</v>
      </c>
      <c r="K216" t="s">
        <v>57</v>
      </c>
      <c r="L216" t="s">
        <v>877</v>
      </c>
      <c r="M216">
        <v>5</v>
      </c>
      <c r="O216" t="s">
        <v>51</v>
      </c>
      <c r="P216">
        <v>1222.8800000000001</v>
      </c>
      <c r="Q216">
        <v>1222.8800000000001</v>
      </c>
      <c r="R216" t="str">
        <f>IF(OR(P216&lt;Outliers!$B$5, P216&gt;Outliers!$B$6), "outliers", "")</f>
        <v/>
      </c>
    </row>
    <row r="217" spans="1:18" x14ac:dyDescent="0.25">
      <c r="A217" t="s">
        <v>878</v>
      </c>
      <c r="B217" s="1">
        <v>45148</v>
      </c>
      <c r="C217">
        <v>2023</v>
      </c>
      <c r="D217" t="s">
        <v>28</v>
      </c>
      <c r="E217" t="s">
        <v>879</v>
      </c>
      <c r="F217" t="s">
        <v>55</v>
      </c>
      <c r="G217">
        <v>1</v>
      </c>
      <c r="H217">
        <v>303.60000000000002</v>
      </c>
      <c r="I217" t="s">
        <v>880</v>
      </c>
      <c r="J217" t="s">
        <v>72</v>
      </c>
      <c r="K217" t="s">
        <v>23</v>
      </c>
      <c r="L217" t="s">
        <v>881</v>
      </c>
      <c r="M217">
        <v>5</v>
      </c>
      <c r="N217" t="s">
        <v>42</v>
      </c>
      <c r="O217" t="s">
        <v>51</v>
      </c>
      <c r="P217">
        <v>303.60000000000002</v>
      </c>
      <c r="Q217">
        <v>303.60000000000002</v>
      </c>
      <c r="R217" t="str">
        <f>IF(OR(P217&lt;Outliers!$B$5, P217&gt;Outliers!$B$6), "outliers", "")</f>
        <v/>
      </c>
    </row>
    <row r="218" spans="1:18" x14ac:dyDescent="0.25">
      <c r="A218" t="s">
        <v>882</v>
      </c>
      <c r="B218" s="1">
        <v>45762</v>
      </c>
      <c r="C218">
        <v>2025</v>
      </c>
      <c r="D218" t="s">
        <v>53</v>
      </c>
      <c r="E218" t="s">
        <v>883</v>
      </c>
      <c r="F218" t="s">
        <v>20</v>
      </c>
      <c r="G218">
        <v>4</v>
      </c>
      <c r="H218">
        <v>496</v>
      </c>
      <c r="I218" t="s">
        <v>280</v>
      </c>
      <c r="J218" t="s">
        <v>32</v>
      </c>
      <c r="K218" t="s">
        <v>40</v>
      </c>
      <c r="L218" t="s">
        <v>884</v>
      </c>
      <c r="M218">
        <v>8</v>
      </c>
      <c r="N218" t="s">
        <v>88</v>
      </c>
      <c r="O218" t="s">
        <v>83</v>
      </c>
      <c r="P218">
        <v>1984</v>
      </c>
      <c r="Q218">
        <v>1984</v>
      </c>
      <c r="R218" t="str">
        <f>IF(OR(P218&lt;Outliers!$B$5, P218&gt;Outliers!$B$6), "outliers", "")</f>
        <v/>
      </c>
    </row>
    <row r="219" spans="1:18" x14ac:dyDescent="0.25">
      <c r="A219" t="s">
        <v>885</v>
      </c>
      <c r="B219" s="1">
        <v>45432</v>
      </c>
      <c r="C219">
        <v>2024</v>
      </c>
      <c r="D219" t="s">
        <v>53</v>
      </c>
      <c r="E219" t="s">
        <v>886</v>
      </c>
      <c r="F219" t="s">
        <v>80</v>
      </c>
      <c r="G219">
        <v>4</v>
      </c>
      <c r="H219">
        <v>321.51</v>
      </c>
      <c r="I219" t="s">
        <v>887</v>
      </c>
      <c r="J219" t="s">
        <v>72</v>
      </c>
      <c r="K219" t="s">
        <v>49</v>
      </c>
      <c r="L219" t="s">
        <v>888</v>
      </c>
      <c r="M219">
        <v>9</v>
      </c>
      <c r="O219" t="s">
        <v>83</v>
      </c>
      <c r="P219">
        <v>1286.04</v>
      </c>
      <c r="Q219">
        <v>1286.04</v>
      </c>
      <c r="R219" t="str">
        <f>IF(OR(P219&lt;Outliers!$B$5, P219&gt;Outliers!$B$6), "outliers", "")</f>
        <v/>
      </c>
    </row>
    <row r="220" spans="1:18" x14ac:dyDescent="0.25">
      <c r="A220" t="s">
        <v>889</v>
      </c>
      <c r="B220" s="1">
        <v>45044</v>
      </c>
      <c r="C220">
        <v>2023</v>
      </c>
      <c r="D220" t="s">
        <v>53</v>
      </c>
      <c r="E220" t="s">
        <v>890</v>
      </c>
      <c r="F220" t="s">
        <v>37</v>
      </c>
      <c r="G220">
        <v>3</v>
      </c>
      <c r="H220">
        <v>112.46</v>
      </c>
      <c r="I220" t="s">
        <v>891</v>
      </c>
      <c r="J220" t="s">
        <v>67</v>
      </c>
      <c r="K220" t="s">
        <v>23</v>
      </c>
      <c r="L220" t="s">
        <v>892</v>
      </c>
      <c r="M220">
        <v>6</v>
      </c>
      <c r="N220" t="s">
        <v>25</v>
      </c>
      <c r="O220" t="s">
        <v>26</v>
      </c>
      <c r="P220">
        <v>337.38</v>
      </c>
      <c r="Q220">
        <v>337.38</v>
      </c>
      <c r="R220" t="str">
        <f>IF(OR(P220&lt;Outliers!$B$5, P220&gt;Outliers!$B$6), "outliers", "")</f>
        <v/>
      </c>
    </row>
    <row r="221" spans="1:18" x14ac:dyDescent="0.25">
      <c r="A221" t="s">
        <v>893</v>
      </c>
      <c r="B221" s="1">
        <v>45779</v>
      </c>
      <c r="C221">
        <v>2025</v>
      </c>
      <c r="D221" t="s">
        <v>53</v>
      </c>
      <c r="E221" t="s">
        <v>894</v>
      </c>
      <c r="F221" t="s">
        <v>65</v>
      </c>
      <c r="G221">
        <v>5</v>
      </c>
      <c r="H221">
        <v>61.97</v>
      </c>
      <c r="I221" t="s">
        <v>895</v>
      </c>
      <c r="J221" t="s">
        <v>72</v>
      </c>
      <c r="K221" t="s">
        <v>57</v>
      </c>
      <c r="L221" t="s">
        <v>896</v>
      </c>
      <c r="M221">
        <v>6</v>
      </c>
      <c r="N221" t="s">
        <v>25</v>
      </c>
      <c r="O221" t="s">
        <v>43</v>
      </c>
      <c r="P221">
        <v>309.85000000000002</v>
      </c>
      <c r="Q221">
        <v>309.85000000000002</v>
      </c>
      <c r="R221" t="str">
        <f>IF(OR(P221&lt;Outliers!$B$5, P221&gt;Outliers!$B$6), "outliers", "")</f>
        <v/>
      </c>
    </row>
    <row r="222" spans="1:18" x14ac:dyDescent="0.25">
      <c r="A222" t="s">
        <v>897</v>
      </c>
      <c r="B222" s="1">
        <v>45125</v>
      </c>
      <c r="C222">
        <v>2023</v>
      </c>
      <c r="D222" t="s">
        <v>28</v>
      </c>
      <c r="E222" t="s">
        <v>898</v>
      </c>
      <c r="F222" t="s">
        <v>65</v>
      </c>
      <c r="G222">
        <v>2</v>
      </c>
      <c r="H222">
        <v>373.17</v>
      </c>
      <c r="I222" t="s">
        <v>899</v>
      </c>
      <c r="J222" t="s">
        <v>39</v>
      </c>
      <c r="K222" t="s">
        <v>96</v>
      </c>
      <c r="L222" t="s">
        <v>900</v>
      </c>
      <c r="M222">
        <v>6</v>
      </c>
      <c r="N222" t="s">
        <v>25</v>
      </c>
      <c r="O222" t="s">
        <v>34</v>
      </c>
      <c r="P222">
        <v>746.34</v>
      </c>
      <c r="Q222">
        <v>746.34</v>
      </c>
      <c r="R222" t="str">
        <f>IF(OR(P222&lt;Outliers!$B$5, P222&gt;Outliers!$B$6), "outliers", "")</f>
        <v/>
      </c>
    </row>
    <row r="223" spans="1:18" x14ac:dyDescent="0.25">
      <c r="A223" t="s">
        <v>901</v>
      </c>
      <c r="B223" s="1">
        <v>45345</v>
      </c>
      <c r="C223">
        <v>2024</v>
      </c>
      <c r="D223" t="s">
        <v>18</v>
      </c>
      <c r="E223" t="s">
        <v>902</v>
      </c>
      <c r="F223" t="s">
        <v>37</v>
      </c>
      <c r="G223">
        <v>5</v>
      </c>
      <c r="H223">
        <v>639.37</v>
      </c>
      <c r="I223" t="s">
        <v>319</v>
      </c>
      <c r="J223" t="s">
        <v>22</v>
      </c>
      <c r="K223" t="s">
        <v>96</v>
      </c>
      <c r="L223" t="s">
        <v>903</v>
      </c>
      <c r="M223">
        <v>6</v>
      </c>
      <c r="N223" t="s">
        <v>25</v>
      </c>
      <c r="O223" t="s">
        <v>83</v>
      </c>
      <c r="P223">
        <v>3196.85</v>
      </c>
      <c r="Q223">
        <v>3196.85</v>
      </c>
      <c r="R223" t="str">
        <f>IF(OR(P223&lt;Outliers!$B$5, P223&gt;Outliers!$B$6), "outliers", "")</f>
        <v/>
      </c>
    </row>
    <row r="224" spans="1:18" x14ac:dyDescent="0.25">
      <c r="A224" t="s">
        <v>904</v>
      </c>
      <c r="B224" s="1">
        <v>45050</v>
      </c>
      <c r="C224">
        <v>2023</v>
      </c>
      <c r="D224" t="s">
        <v>53</v>
      </c>
      <c r="E224" t="s">
        <v>905</v>
      </c>
      <c r="F224" t="s">
        <v>47</v>
      </c>
      <c r="G224">
        <v>4</v>
      </c>
      <c r="H224">
        <v>693.36</v>
      </c>
      <c r="I224" t="s">
        <v>906</v>
      </c>
      <c r="J224" t="s">
        <v>32</v>
      </c>
      <c r="K224" t="s">
        <v>23</v>
      </c>
      <c r="L224" t="s">
        <v>907</v>
      </c>
      <c r="M224">
        <v>8</v>
      </c>
      <c r="O224" t="s">
        <v>26</v>
      </c>
      <c r="P224">
        <v>2773.44</v>
      </c>
      <c r="Q224">
        <v>2773.44</v>
      </c>
      <c r="R224" t="str">
        <f>IF(OR(P224&lt;Outliers!$B$5, P224&gt;Outliers!$B$6), "outliers", "")</f>
        <v/>
      </c>
    </row>
    <row r="225" spans="1:18" x14ac:dyDescent="0.25">
      <c r="A225" t="s">
        <v>908</v>
      </c>
      <c r="B225" s="1">
        <v>45546</v>
      </c>
      <c r="C225">
        <v>2024</v>
      </c>
      <c r="D225" t="s">
        <v>28</v>
      </c>
      <c r="E225" t="s">
        <v>909</v>
      </c>
      <c r="F225" t="s">
        <v>30</v>
      </c>
      <c r="G225">
        <v>4</v>
      </c>
      <c r="H225">
        <v>692.91</v>
      </c>
      <c r="I225" t="s">
        <v>524</v>
      </c>
      <c r="J225" t="s">
        <v>39</v>
      </c>
      <c r="K225" t="s">
        <v>96</v>
      </c>
      <c r="L225" t="s">
        <v>910</v>
      </c>
      <c r="M225">
        <v>9</v>
      </c>
      <c r="N225" t="s">
        <v>25</v>
      </c>
      <c r="O225" t="s">
        <v>26</v>
      </c>
      <c r="P225">
        <v>2771.64</v>
      </c>
      <c r="Q225">
        <v>2771.64</v>
      </c>
      <c r="R225" t="str">
        <f>IF(OR(P225&lt;Outliers!$B$5, P225&gt;Outliers!$B$6), "outliers", "")</f>
        <v/>
      </c>
    </row>
    <row r="226" spans="1:18" x14ac:dyDescent="0.25">
      <c r="A226" t="s">
        <v>911</v>
      </c>
      <c r="B226" s="1">
        <v>45192</v>
      </c>
      <c r="C226">
        <v>2023</v>
      </c>
      <c r="D226" t="s">
        <v>28</v>
      </c>
      <c r="E226" t="s">
        <v>912</v>
      </c>
      <c r="F226" t="s">
        <v>55</v>
      </c>
      <c r="G226">
        <v>4</v>
      </c>
      <c r="H226">
        <v>91.46</v>
      </c>
      <c r="I226" t="s">
        <v>913</v>
      </c>
      <c r="J226" t="s">
        <v>72</v>
      </c>
      <c r="K226" t="s">
        <v>40</v>
      </c>
      <c r="L226" t="s">
        <v>914</v>
      </c>
      <c r="M226">
        <v>9</v>
      </c>
      <c r="N226" t="s">
        <v>25</v>
      </c>
      <c r="O226" t="s">
        <v>34</v>
      </c>
      <c r="P226">
        <v>365.84</v>
      </c>
      <c r="Q226">
        <v>365.84</v>
      </c>
      <c r="R226" t="str">
        <f>IF(OR(P226&lt;Outliers!$B$5, P226&gt;Outliers!$B$6), "outliers", "")</f>
        <v/>
      </c>
    </row>
    <row r="227" spans="1:18" x14ac:dyDescent="0.25">
      <c r="A227" t="s">
        <v>915</v>
      </c>
      <c r="B227" s="1">
        <v>45364</v>
      </c>
      <c r="C227">
        <v>2024</v>
      </c>
      <c r="D227" t="s">
        <v>18</v>
      </c>
      <c r="E227" t="s">
        <v>916</v>
      </c>
      <c r="F227" t="s">
        <v>30</v>
      </c>
      <c r="G227">
        <v>3</v>
      </c>
      <c r="H227">
        <v>273.95999999999998</v>
      </c>
      <c r="I227" t="s">
        <v>917</v>
      </c>
      <c r="J227" t="s">
        <v>22</v>
      </c>
      <c r="K227" t="s">
        <v>49</v>
      </c>
      <c r="L227" t="s">
        <v>918</v>
      </c>
      <c r="M227">
        <v>8</v>
      </c>
      <c r="N227" t="s">
        <v>25</v>
      </c>
      <c r="O227" t="s">
        <v>83</v>
      </c>
      <c r="P227">
        <v>821.88</v>
      </c>
      <c r="Q227">
        <v>821.88</v>
      </c>
      <c r="R227" t="str">
        <f>IF(OR(P227&lt;Outliers!$B$5, P227&gt;Outliers!$B$6), "outliers", "")</f>
        <v/>
      </c>
    </row>
    <row r="228" spans="1:18" x14ac:dyDescent="0.25">
      <c r="A228" t="s">
        <v>919</v>
      </c>
      <c r="B228" s="1">
        <v>45835</v>
      </c>
      <c r="C228">
        <v>2025</v>
      </c>
      <c r="D228" t="s">
        <v>53</v>
      </c>
      <c r="E228" t="s">
        <v>920</v>
      </c>
      <c r="F228" t="s">
        <v>80</v>
      </c>
      <c r="G228">
        <v>3</v>
      </c>
      <c r="H228">
        <v>588.04999999999995</v>
      </c>
      <c r="I228" t="s">
        <v>921</v>
      </c>
      <c r="J228" t="s">
        <v>67</v>
      </c>
      <c r="K228" t="s">
        <v>57</v>
      </c>
      <c r="L228" t="s">
        <v>922</v>
      </c>
      <c r="M228">
        <v>8</v>
      </c>
      <c r="O228" t="s">
        <v>26</v>
      </c>
      <c r="P228">
        <v>1764.15</v>
      </c>
      <c r="Q228">
        <v>1764.15</v>
      </c>
      <c r="R228" t="str">
        <f>IF(OR(P228&lt;Outliers!$B$5, P228&gt;Outliers!$B$6), "outliers", "")</f>
        <v/>
      </c>
    </row>
    <row r="229" spans="1:18" x14ac:dyDescent="0.25">
      <c r="A229" t="s">
        <v>923</v>
      </c>
      <c r="B229" s="1">
        <v>45232</v>
      </c>
      <c r="C229">
        <v>2023</v>
      </c>
      <c r="D229" t="s">
        <v>45</v>
      </c>
      <c r="E229" t="s">
        <v>924</v>
      </c>
      <c r="F229" t="s">
        <v>20</v>
      </c>
      <c r="G229">
        <v>2</v>
      </c>
      <c r="H229">
        <v>365.17</v>
      </c>
      <c r="I229" t="s">
        <v>544</v>
      </c>
      <c r="J229" t="s">
        <v>32</v>
      </c>
      <c r="K229" t="s">
        <v>40</v>
      </c>
      <c r="L229" t="s">
        <v>925</v>
      </c>
      <c r="M229">
        <v>4</v>
      </c>
      <c r="N229" t="s">
        <v>42</v>
      </c>
      <c r="O229" t="s">
        <v>51</v>
      </c>
      <c r="P229">
        <v>730.34</v>
      </c>
      <c r="Q229">
        <v>730.34</v>
      </c>
      <c r="R229" t="str">
        <f>IF(OR(P229&lt;Outliers!$B$5, P229&gt;Outliers!$B$6), "outliers", "")</f>
        <v/>
      </c>
    </row>
    <row r="230" spans="1:18" x14ac:dyDescent="0.25">
      <c r="A230" t="s">
        <v>926</v>
      </c>
      <c r="B230" s="1">
        <v>45063</v>
      </c>
      <c r="C230">
        <v>2023</v>
      </c>
      <c r="D230" t="s">
        <v>53</v>
      </c>
      <c r="E230" t="s">
        <v>927</v>
      </c>
      <c r="F230" t="s">
        <v>47</v>
      </c>
      <c r="G230">
        <v>4</v>
      </c>
      <c r="H230">
        <v>385.92</v>
      </c>
      <c r="I230" t="s">
        <v>928</v>
      </c>
      <c r="J230" t="s">
        <v>39</v>
      </c>
      <c r="K230" t="s">
        <v>40</v>
      </c>
      <c r="L230" t="s">
        <v>929</v>
      </c>
      <c r="M230">
        <v>8</v>
      </c>
      <c r="O230" t="s">
        <v>26</v>
      </c>
      <c r="P230">
        <v>1543.68</v>
      </c>
      <c r="Q230">
        <v>1543.68</v>
      </c>
      <c r="R230" t="str">
        <f>IF(OR(P230&lt;Outliers!$B$5, P230&gt;Outliers!$B$6), "outliers", "")</f>
        <v/>
      </c>
    </row>
    <row r="231" spans="1:18" x14ac:dyDescent="0.25">
      <c r="A231" t="s">
        <v>930</v>
      </c>
      <c r="B231" s="1">
        <v>45744</v>
      </c>
      <c r="C231">
        <v>2025</v>
      </c>
      <c r="D231" t="s">
        <v>18</v>
      </c>
      <c r="E231" t="s">
        <v>931</v>
      </c>
      <c r="F231" t="s">
        <v>37</v>
      </c>
      <c r="G231">
        <v>1</v>
      </c>
      <c r="H231">
        <v>562.61</v>
      </c>
      <c r="I231" t="s">
        <v>932</v>
      </c>
      <c r="J231" t="s">
        <v>39</v>
      </c>
      <c r="K231" t="s">
        <v>57</v>
      </c>
      <c r="L231" t="s">
        <v>933</v>
      </c>
      <c r="M231">
        <v>3</v>
      </c>
      <c r="N231" t="s">
        <v>88</v>
      </c>
      <c r="O231" t="s">
        <v>51</v>
      </c>
      <c r="P231">
        <v>562.61</v>
      </c>
      <c r="Q231">
        <v>562.61</v>
      </c>
      <c r="R231" t="str">
        <f>IF(OR(P231&lt;Outliers!$B$5, P231&gt;Outliers!$B$6), "outliers", "")</f>
        <v/>
      </c>
    </row>
    <row r="232" spans="1:18" x14ac:dyDescent="0.25">
      <c r="A232" t="s">
        <v>934</v>
      </c>
      <c r="B232" s="1">
        <v>45276</v>
      </c>
      <c r="C232">
        <v>2023</v>
      </c>
      <c r="D232" t="s">
        <v>45</v>
      </c>
      <c r="E232" t="s">
        <v>935</v>
      </c>
      <c r="F232" t="s">
        <v>80</v>
      </c>
      <c r="G232">
        <v>4</v>
      </c>
      <c r="H232">
        <v>61.91</v>
      </c>
      <c r="I232" t="s">
        <v>936</v>
      </c>
      <c r="J232" t="s">
        <v>67</v>
      </c>
      <c r="K232" t="s">
        <v>57</v>
      </c>
      <c r="L232" t="s">
        <v>937</v>
      </c>
      <c r="M232">
        <v>6</v>
      </c>
      <c r="N232" t="s">
        <v>88</v>
      </c>
      <c r="O232" t="s">
        <v>43</v>
      </c>
      <c r="P232">
        <v>247.64</v>
      </c>
      <c r="Q232">
        <v>247.64</v>
      </c>
      <c r="R232" t="str">
        <f>IF(OR(P232&lt;Outliers!$B$5, P232&gt;Outliers!$B$6), "outliers", "")</f>
        <v/>
      </c>
    </row>
    <row r="233" spans="1:18" x14ac:dyDescent="0.25">
      <c r="A233" t="s">
        <v>938</v>
      </c>
      <c r="B233" s="1">
        <v>45235</v>
      </c>
      <c r="C233">
        <v>2023</v>
      </c>
      <c r="D233" t="s">
        <v>45</v>
      </c>
      <c r="E233" t="s">
        <v>939</v>
      </c>
      <c r="F233" t="s">
        <v>30</v>
      </c>
      <c r="G233">
        <v>4</v>
      </c>
      <c r="H233">
        <v>41.9</v>
      </c>
      <c r="I233" t="s">
        <v>940</v>
      </c>
      <c r="J233" t="s">
        <v>67</v>
      </c>
      <c r="K233" t="s">
        <v>96</v>
      </c>
      <c r="L233" t="s">
        <v>941</v>
      </c>
      <c r="M233">
        <v>9</v>
      </c>
      <c r="N233" t="s">
        <v>42</v>
      </c>
      <c r="O233" t="s">
        <v>26</v>
      </c>
      <c r="P233">
        <v>167.6</v>
      </c>
      <c r="Q233">
        <v>167.6</v>
      </c>
      <c r="R233" t="str">
        <f>IF(OR(P233&lt;Outliers!$B$5, P233&gt;Outliers!$B$6), "outliers", "")</f>
        <v/>
      </c>
    </row>
    <row r="234" spans="1:18" x14ac:dyDescent="0.25">
      <c r="A234" t="s">
        <v>942</v>
      </c>
      <c r="B234" s="1">
        <v>45065</v>
      </c>
      <c r="C234">
        <v>2023</v>
      </c>
      <c r="D234" t="s">
        <v>53</v>
      </c>
      <c r="E234" t="s">
        <v>943</v>
      </c>
      <c r="F234" t="s">
        <v>55</v>
      </c>
      <c r="G234">
        <v>4</v>
      </c>
      <c r="H234">
        <v>444.44</v>
      </c>
      <c r="I234" t="s">
        <v>944</v>
      </c>
      <c r="J234" t="s">
        <v>22</v>
      </c>
      <c r="K234" t="s">
        <v>40</v>
      </c>
      <c r="L234" t="s">
        <v>945</v>
      </c>
      <c r="M234">
        <v>8</v>
      </c>
      <c r="N234" t="s">
        <v>88</v>
      </c>
      <c r="O234" t="s">
        <v>83</v>
      </c>
      <c r="P234">
        <v>1777.76</v>
      </c>
      <c r="Q234">
        <v>1777.76</v>
      </c>
      <c r="R234" t="str">
        <f>IF(OR(P234&lt;Outliers!$B$5, P234&gt;Outliers!$B$6), "outliers", "")</f>
        <v/>
      </c>
    </row>
    <row r="235" spans="1:18" x14ac:dyDescent="0.25">
      <c r="A235" t="s">
        <v>946</v>
      </c>
      <c r="B235" s="1">
        <v>45528</v>
      </c>
      <c r="C235">
        <v>2024</v>
      </c>
      <c r="D235" t="s">
        <v>28</v>
      </c>
      <c r="E235" t="s">
        <v>947</v>
      </c>
      <c r="F235" t="s">
        <v>30</v>
      </c>
      <c r="G235">
        <v>3</v>
      </c>
      <c r="H235">
        <v>311.33</v>
      </c>
      <c r="I235" t="s">
        <v>354</v>
      </c>
      <c r="J235" t="s">
        <v>72</v>
      </c>
      <c r="K235" t="s">
        <v>40</v>
      </c>
      <c r="L235" t="s">
        <v>948</v>
      </c>
      <c r="M235">
        <v>3</v>
      </c>
      <c r="N235" t="s">
        <v>88</v>
      </c>
      <c r="O235" t="s">
        <v>26</v>
      </c>
      <c r="P235">
        <v>933.99</v>
      </c>
      <c r="Q235">
        <v>933.99</v>
      </c>
      <c r="R235" t="str">
        <f>IF(OR(P235&lt;Outliers!$B$5, P235&gt;Outliers!$B$6), "outliers", "")</f>
        <v/>
      </c>
    </row>
    <row r="236" spans="1:18" x14ac:dyDescent="0.25">
      <c r="A236" t="s">
        <v>949</v>
      </c>
      <c r="B236" s="1">
        <v>45622</v>
      </c>
      <c r="C236">
        <v>2024</v>
      </c>
      <c r="D236" t="s">
        <v>45</v>
      </c>
      <c r="E236" t="s">
        <v>950</v>
      </c>
      <c r="F236" t="s">
        <v>55</v>
      </c>
      <c r="G236">
        <v>4</v>
      </c>
      <c r="H236">
        <v>236.41</v>
      </c>
      <c r="I236" t="s">
        <v>951</v>
      </c>
      <c r="J236" t="s">
        <v>22</v>
      </c>
      <c r="K236" t="s">
        <v>96</v>
      </c>
      <c r="L236" t="s">
        <v>952</v>
      </c>
      <c r="M236">
        <v>7</v>
      </c>
      <c r="N236" t="s">
        <v>25</v>
      </c>
      <c r="O236" t="s">
        <v>83</v>
      </c>
      <c r="P236">
        <v>945.64</v>
      </c>
      <c r="Q236">
        <v>945.64</v>
      </c>
      <c r="R236" t="str">
        <f>IF(OR(P236&lt;Outliers!$B$5, P236&gt;Outliers!$B$6), "outliers", "")</f>
        <v/>
      </c>
    </row>
    <row r="237" spans="1:18" x14ac:dyDescent="0.25">
      <c r="A237" t="s">
        <v>953</v>
      </c>
      <c r="B237" s="1">
        <v>44977</v>
      </c>
      <c r="C237">
        <v>2023</v>
      </c>
      <c r="D237" t="s">
        <v>18</v>
      </c>
      <c r="E237" t="s">
        <v>954</v>
      </c>
      <c r="F237" t="s">
        <v>80</v>
      </c>
      <c r="G237">
        <v>1</v>
      </c>
      <c r="H237">
        <v>65.45</v>
      </c>
      <c r="I237" t="s">
        <v>955</v>
      </c>
      <c r="J237" t="s">
        <v>72</v>
      </c>
      <c r="K237" t="s">
        <v>96</v>
      </c>
      <c r="L237" t="s">
        <v>956</v>
      </c>
      <c r="M237">
        <v>2</v>
      </c>
      <c r="N237" t="s">
        <v>88</v>
      </c>
      <c r="O237" t="s">
        <v>83</v>
      </c>
      <c r="P237">
        <v>65.45</v>
      </c>
      <c r="Q237">
        <v>65.45</v>
      </c>
      <c r="R237" t="str">
        <f>IF(OR(P237&lt;Outliers!$B$5, P237&gt;Outliers!$B$6), "outliers", "")</f>
        <v/>
      </c>
    </row>
    <row r="238" spans="1:18" x14ac:dyDescent="0.25">
      <c r="A238" t="s">
        <v>957</v>
      </c>
      <c r="B238" s="1">
        <v>44927</v>
      </c>
      <c r="C238">
        <v>2023</v>
      </c>
      <c r="D238" t="s">
        <v>18</v>
      </c>
      <c r="E238" t="s">
        <v>958</v>
      </c>
      <c r="F238" t="s">
        <v>20</v>
      </c>
      <c r="G238">
        <v>1</v>
      </c>
      <c r="H238">
        <v>318.81</v>
      </c>
      <c r="I238" t="s">
        <v>959</v>
      </c>
      <c r="J238" t="s">
        <v>22</v>
      </c>
      <c r="K238" t="s">
        <v>96</v>
      </c>
      <c r="L238" t="s">
        <v>960</v>
      </c>
      <c r="M238">
        <v>3</v>
      </c>
      <c r="N238" t="s">
        <v>88</v>
      </c>
      <c r="O238" t="s">
        <v>43</v>
      </c>
      <c r="P238">
        <v>318.81</v>
      </c>
      <c r="Q238">
        <v>318.81</v>
      </c>
      <c r="R238" t="str">
        <f>IF(OR(P238&lt;Outliers!$B$5, P238&gt;Outliers!$B$6), "outliers", "")</f>
        <v/>
      </c>
    </row>
    <row r="239" spans="1:18" x14ac:dyDescent="0.25">
      <c r="A239" t="s">
        <v>961</v>
      </c>
      <c r="B239" s="1">
        <v>45365</v>
      </c>
      <c r="C239">
        <v>2024</v>
      </c>
      <c r="D239" t="s">
        <v>18</v>
      </c>
      <c r="E239" t="s">
        <v>962</v>
      </c>
      <c r="F239" t="s">
        <v>20</v>
      </c>
      <c r="G239">
        <v>3</v>
      </c>
      <c r="H239">
        <v>583.72</v>
      </c>
      <c r="I239" t="s">
        <v>963</v>
      </c>
      <c r="J239" t="s">
        <v>39</v>
      </c>
      <c r="K239" t="s">
        <v>23</v>
      </c>
      <c r="L239" t="s">
        <v>964</v>
      </c>
      <c r="M239">
        <v>5</v>
      </c>
      <c r="N239" t="s">
        <v>42</v>
      </c>
      <c r="O239" t="s">
        <v>51</v>
      </c>
      <c r="P239">
        <v>1751.16</v>
      </c>
      <c r="Q239">
        <v>1751.16</v>
      </c>
      <c r="R239" t="str">
        <f>IF(OR(P239&lt;Outliers!$B$5, P239&gt;Outliers!$B$6), "outliers", "")</f>
        <v/>
      </c>
    </row>
    <row r="240" spans="1:18" x14ac:dyDescent="0.25">
      <c r="A240" t="s">
        <v>965</v>
      </c>
      <c r="B240" s="1">
        <v>45639</v>
      </c>
      <c r="C240">
        <v>2024</v>
      </c>
      <c r="D240" t="s">
        <v>45</v>
      </c>
      <c r="E240" t="s">
        <v>966</v>
      </c>
      <c r="F240" t="s">
        <v>80</v>
      </c>
      <c r="G240">
        <v>4</v>
      </c>
      <c r="H240">
        <v>384.32</v>
      </c>
      <c r="I240" t="s">
        <v>967</v>
      </c>
      <c r="J240" t="s">
        <v>39</v>
      </c>
      <c r="K240" t="s">
        <v>96</v>
      </c>
      <c r="L240" t="s">
        <v>968</v>
      </c>
      <c r="M240">
        <v>6</v>
      </c>
      <c r="N240" t="s">
        <v>88</v>
      </c>
      <c r="O240" t="s">
        <v>83</v>
      </c>
      <c r="P240">
        <v>1537.28</v>
      </c>
      <c r="Q240">
        <v>1537.28</v>
      </c>
      <c r="R240" t="str">
        <f>IF(OR(P240&lt;Outliers!$B$5, P240&gt;Outliers!$B$6), "outliers", "")</f>
        <v/>
      </c>
    </row>
    <row r="241" spans="1:18" x14ac:dyDescent="0.25">
      <c r="A241" t="s">
        <v>969</v>
      </c>
      <c r="B241" s="1">
        <v>45637</v>
      </c>
      <c r="C241">
        <v>2024</v>
      </c>
      <c r="D241" t="s">
        <v>45</v>
      </c>
      <c r="E241" t="s">
        <v>970</v>
      </c>
      <c r="F241" t="s">
        <v>37</v>
      </c>
      <c r="G241">
        <v>3</v>
      </c>
      <c r="H241">
        <v>538.74</v>
      </c>
      <c r="I241" t="s">
        <v>971</v>
      </c>
      <c r="J241" t="s">
        <v>32</v>
      </c>
      <c r="K241" t="s">
        <v>23</v>
      </c>
      <c r="L241" t="s">
        <v>972</v>
      </c>
      <c r="M241">
        <v>6</v>
      </c>
      <c r="N241" t="s">
        <v>42</v>
      </c>
      <c r="O241" t="s">
        <v>43</v>
      </c>
      <c r="P241">
        <v>1616.22</v>
      </c>
      <c r="Q241">
        <v>1616.22</v>
      </c>
      <c r="R241" t="str">
        <f>IF(OR(P241&lt;Outliers!$B$5, P241&gt;Outliers!$B$6), "outliers", "")</f>
        <v/>
      </c>
    </row>
    <row r="242" spans="1:18" x14ac:dyDescent="0.25">
      <c r="A242" t="s">
        <v>973</v>
      </c>
      <c r="B242" s="1">
        <v>45119</v>
      </c>
      <c r="C242">
        <v>2023</v>
      </c>
      <c r="D242" t="s">
        <v>28</v>
      </c>
      <c r="E242" t="s">
        <v>974</v>
      </c>
      <c r="F242" t="s">
        <v>37</v>
      </c>
      <c r="G242">
        <v>1</v>
      </c>
      <c r="H242">
        <v>17.239999999999998</v>
      </c>
      <c r="I242" t="s">
        <v>975</v>
      </c>
      <c r="J242" t="s">
        <v>32</v>
      </c>
      <c r="K242" t="s">
        <v>96</v>
      </c>
      <c r="L242" t="s">
        <v>976</v>
      </c>
      <c r="M242">
        <v>2</v>
      </c>
      <c r="N242" t="s">
        <v>42</v>
      </c>
      <c r="O242" t="s">
        <v>26</v>
      </c>
      <c r="P242">
        <v>17.239999999999998</v>
      </c>
      <c r="Q242">
        <v>17.239999999999998</v>
      </c>
      <c r="R242" t="str">
        <f>IF(OR(P242&lt;Outliers!$B$5, P242&gt;Outliers!$B$6), "outliers", "")</f>
        <v/>
      </c>
    </row>
    <row r="243" spans="1:18" x14ac:dyDescent="0.25">
      <c r="A243" t="s">
        <v>977</v>
      </c>
      <c r="B243" s="1">
        <v>45062</v>
      </c>
      <c r="C243">
        <v>2023</v>
      </c>
      <c r="D243" t="s">
        <v>53</v>
      </c>
      <c r="E243" t="s">
        <v>978</v>
      </c>
      <c r="F243" t="s">
        <v>47</v>
      </c>
      <c r="G243">
        <v>5</v>
      </c>
      <c r="H243">
        <v>615.66999999999996</v>
      </c>
      <c r="I243" t="s">
        <v>979</v>
      </c>
      <c r="J243" t="s">
        <v>32</v>
      </c>
      <c r="K243" t="s">
        <v>96</v>
      </c>
      <c r="L243" t="s">
        <v>980</v>
      </c>
      <c r="M243">
        <v>6</v>
      </c>
      <c r="N243" t="s">
        <v>25</v>
      </c>
      <c r="O243" t="s">
        <v>43</v>
      </c>
      <c r="P243">
        <v>3078.35</v>
      </c>
      <c r="Q243">
        <v>3078.35</v>
      </c>
      <c r="R243" t="str">
        <f>IF(OR(P243&lt;Outliers!$B$5, P243&gt;Outliers!$B$6), "outliers", "")</f>
        <v/>
      </c>
    </row>
    <row r="244" spans="1:18" x14ac:dyDescent="0.25">
      <c r="A244" t="s">
        <v>981</v>
      </c>
      <c r="B244" s="1">
        <v>45055</v>
      </c>
      <c r="C244">
        <v>2023</v>
      </c>
      <c r="D244" t="s">
        <v>53</v>
      </c>
      <c r="E244" t="s">
        <v>982</v>
      </c>
      <c r="F244" t="s">
        <v>55</v>
      </c>
      <c r="G244">
        <v>2</v>
      </c>
      <c r="H244">
        <v>219.1</v>
      </c>
      <c r="I244" t="s">
        <v>983</v>
      </c>
      <c r="J244" t="s">
        <v>32</v>
      </c>
      <c r="K244" t="s">
        <v>96</v>
      </c>
      <c r="L244" t="s">
        <v>984</v>
      </c>
      <c r="M244">
        <v>4</v>
      </c>
      <c r="N244" t="s">
        <v>25</v>
      </c>
      <c r="O244" t="s">
        <v>34</v>
      </c>
      <c r="P244">
        <v>438.2</v>
      </c>
      <c r="Q244">
        <v>438.2</v>
      </c>
      <c r="R244" t="str">
        <f>IF(OR(P244&lt;Outliers!$B$5, P244&gt;Outliers!$B$6), "outliers", "")</f>
        <v/>
      </c>
    </row>
    <row r="245" spans="1:18" x14ac:dyDescent="0.25">
      <c r="A245" t="s">
        <v>985</v>
      </c>
      <c r="B245" s="1">
        <v>45786</v>
      </c>
      <c r="C245">
        <v>2025</v>
      </c>
      <c r="D245" t="s">
        <v>53</v>
      </c>
      <c r="E245" t="s">
        <v>986</v>
      </c>
      <c r="F245" t="s">
        <v>47</v>
      </c>
      <c r="G245">
        <v>2</v>
      </c>
      <c r="H245">
        <v>144.66</v>
      </c>
      <c r="I245" t="s">
        <v>987</v>
      </c>
      <c r="J245" t="s">
        <v>32</v>
      </c>
      <c r="K245" t="s">
        <v>40</v>
      </c>
      <c r="L245" t="s">
        <v>988</v>
      </c>
      <c r="M245">
        <v>7</v>
      </c>
      <c r="N245" t="s">
        <v>42</v>
      </c>
      <c r="O245" t="s">
        <v>83</v>
      </c>
      <c r="P245">
        <v>289.32</v>
      </c>
      <c r="Q245">
        <v>289.32</v>
      </c>
      <c r="R245" t="str">
        <f>IF(OR(P245&lt;Outliers!$B$5, P245&gt;Outliers!$B$6), "outliers", "")</f>
        <v/>
      </c>
    </row>
    <row r="246" spans="1:18" x14ac:dyDescent="0.25">
      <c r="A246" t="s">
        <v>989</v>
      </c>
      <c r="B246" s="1">
        <v>44973</v>
      </c>
      <c r="C246">
        <v>2023</v>
      </c>
      <c r="D246" t="s">
        <v>18</v>
      </c>
      <c r="E246" t="s">
        <v>990</v>
      </c>
      <c r="F246" t="s">
        <v>80</v>
      </c>
      <c r="G246">
        <v>2</v>
      </c>
      <c r="H246">
        <v>317.77</v>
      </c>
      <c r="I246" t="s">
        <v>991</v>
      </c>
      <c r="J246" t="s">
        <v>22</v>
      </c>
      <c r="K246" t="s">
        <v>40</v>
      </c>
      <c r="L246" t="s">
        <v>992</v>
      </c>
      <c r="M246">
        <v>4</v>
      </c>
      <c r="N246" t="s">
        <v>88</v>
      </c>
      <c r="O246" t="s">
        <v>51</v>
      </c>
      <c r="P246">
        <v>635.54</v>
      </c>
      <c r="Q246">
        <v>635.54</v>
      </c>
      <c r="R246" t="str">
        <f>IF(OR(P246&lt;Outliers!$B$5, P246&gt;Outliers!$B$6), "outliers", "")</f>
        <v/>
      </c>
    </row>
    <row r="247" spans="1:18" x14ac:dyDescent="0.25">
      <c r="A247" t="s">
        <v>993</v>
      </c>
      <c r="B247" s="1">
        <v>45767</v>
      </c>
      <c r="C247">
        <v>2025</v>
      </c>
      <c r="D247" t="s">
        <v>53</v>
      </c>
      <c r="E247" t="s">
        <v>994</v>
      </c>
      <c r="F247" t="s">
        <v>65</v>
      </c>
      <c r="G247">
        <v>1</v>
      </c>
      <c r="H247">
        <v>223.3</v>
      </c>
      <c r="I247" t="s">
        <v>995</v>
      </c>
      <c r="J247" t="s">
        <v>32</v>
      </c>
      <c r="K247" t="s">
        <v>49</v>
      </c>
      <c r="L247" t="s">
        <v>996</v>
      </c>
      <c r="M247">
        <v>1</v>
      </c>
      <c r="O247" t="s">
        <v>51</v>
      </c>
      <c r="P247">
        <v>223.3</v>
      </c>
      <c r="Q247">
        <v>223.3</v>
      </c>
      <c r="R247" t="str">
        <f>IF(OR(P247&lt;Outliers!$B$5, P247&gt;Outliers!$B$6), "outliers", "")</f>
        <v/>
      </c>
    </row>
    <row r="248" spans="1:18" x14ac:dyDescent="0.25">
      <c r="A248" t="s">
        <v>997</v>
      </c>
      <c r="B248" s="1">
        <v>45534</v>
      </c>
      <c r="C248">
        <v>2024</v>
      </c>
      <c r="D248" t="s">
        <v>28</v>
      </c>
      <c r="E248" t="s">
        <v>998</v>
      </c>
      <c r="F248" t="s">
        <v>80</v>
      </c>
      <c r="G248">
        <v>2</v>
      </c>
      <c r="H248">
        <v>342.11</v>
      </c>
      <c r="I248" t="s">
        <v>999</v>
      </c>
      <c r="J248" t="s">
        <v>67</v>
      </c>
      <c r="K248" t="s">
        <v>23</v>
      </c>
      <c r="L248" t="s">
        <v>1000</v>
      </c>
      <c r="M248">
        <v>2</v>
      </c>
      <c r="N248" t="s">
        <v>88</v>
      </c>
      <c r="O248" t="s">
        <v>26</v>
      </c>
      <c r="P248">
        <v>684.22</v>
      </c>
      <c r="Q248">
        <v>684.22</v>
      </c>
      <c r="R248" t="str">
        <f>IF(OR(P248&lt;Outliers!$B$5, P248&gt;Outliers!$B$6), "outliers", "")</f>
        <v/>
      </c>
    </row>
    <row r="249" spans="1:18" x14ac:dyDescent="0.25">
      <c r="A249" t="s">
        <v>1001</v>
      </c>
      <c r="B249" s="1">
        <v>45127</v>
      </c>
      <c r="C249">
        <v>2023</v>
      </c>
      <c r="D249" t="s">
        <v>28</v>
      </c>
      <c r="E249" t="s">
        <v>1002</v>
      </c>
      <c r="F249" t="s">
        <v>55</v>
      </c>
      <c r="G249">
        <v>2</v>
      </c>
      <c r="H249">
        <v>220.9</v>
      </c>
      <c r="I249" t="s">
        <v>1003</v>
      </c>
      <c r="J249" t="s">
        <v>67</v>
      </c>
      <c r="K249" t="s">
        <v>23</v>
      </c>
      <c r="L249" t="s">
        <v>1004</v>
      </c>
      <c r="M249">
        <v>4</v>
      </c>
      <c r="O249" t="s">
        <v>43</v>
      </c>
      <c r="P249">
        <v>441.8</v>
      </c>
      <c r="Q249">
        <v>441.8</v>
      </c>
      <c r="R249" t="str">
        <f>IF(OR(P249&lt;Outliers!$B$5, P249&gt;Outliers!$B$6), "outliers", "")</f>
        <v/>
      </c>
    </row>
    <row r="250" spans="1:18" x14ac:dyDescent="0.25">
      <c r="A250" t="s">
        <v>1005</v>
      </c>
      <c r="B250" s="1">
        <v>45109</v>
      </c>
      <c r="C250">
        <v>2023</v>
      </c>
      <c r="D250" t="s">
        <v>28</v>
      </c>
      <c r="E250" t="s">
        <v>1006</v>
      </c>
      <c r="F250" t="s">
        <v>65</v>
      </c>
      <c r="G250">
        <v>1</v>
      </c>
      <c r="H250">
        <v>670.54</v>
      </c>
      <c r="I250" t="s">
        <v>1007</v>
      </c>
      <c r="J250" t="s">
        <v>72</v>
      </c>
      <c r="K250" t="s">
        <v>23</v>
      </c>
      <c r="L250" t="s">
        <v>1008</v>
      </c>
      <c r="M250">
        <v>6</v>
      </c>
      <c r="N250" t="s">
        <v>42</v>
      </c>
      <c r="O250" t="s">
        <v>34</v>
      </c>
      <c r="P250">
        <v>670.54</v>
      </c>
      <c r="Q250">
        <v>670.54</v>
      </c>
      <c r="R250" t="str">
        <f>IF(OR(P250&lt;Outliers!$B$5, P250&gt;Outliers!$B$6), "outliers", "")</f>
        <v/>
      </c>
    </row>
    <row r="251" spans="1:18" x14ac:dyDescent="0.25">
      <c r="A251" t="s">
        <v>1009</v>
      </c>
      <c r="B251" s="1">
        <v>45329</v>
      </c>
      <c r="C251">
        <v>2024</v>
      </c>
      <c r="D251" t="s">
        <v>18</v>
      </c>
      <c r="E251" t="s">
        <v>1010</v>
      </c>
      <c r="F251" t="s">
        <v>55</v>
      </c>
      <c r="G251">
        <v>1</v>
      </c>
      <c r="H251">
        <v>546.19000000000005</v>
      </c>
      <c r="I251" t="s">
        <v>1011</v>
      </c>
      <c r="J251" t="s">
        <v>72</v>
      </c>
      <c r="K251" t="s">
        <v>96</v>
      </c>
      <c r="L251" t="s">
        <v>1012</v>
      </c>
      <c r="M251">
        <v>5</v>
      </c>
      <c r="N251" t="s">
        <v>42</v>
      </c>
      <c r="O251" t="s">
        <v>34</v>
      </c>
      <c r="P251">
        <v>546.19000000000005</v>
      </c>
      <c r="Q251">
        <v>546.19000000000005</v>
      </c>
      <c r="R251" t="str">
        <f>IF(OR(P251&lt;Outliers!$B$5, P251&gt;Outliers!$B$6), "outliers", "")</f>
        <v/>
      </c>
    </row>
    <row r="252" spans="1:18" x14ac:dyDescent="0.25">
      <c r="A252" t="s">
        <v>1013</v>
      </c>
      <c r="B252" s="1">
        <v>45021</v>
      </c>
      <c r="C252">
        <v>2023</v>
      </c>
      <c r="D252" t="s">
        <v>53</v>
      </c>
      <c r="E252" t="s">
        <v>1014</v>
      </c>
      <c r="F252" t="s">
        <v>80</v>
      </c>
      <c r="G252">
        <v>3</v>
      </c>
      <c r="H252">
        <v>42.95</v>
      </c>
      <c r="I252" t="s">
        <v>394</v>
      </c>
      <c r="J252" t="s">
        <v>67</v>
      </c>
      <c r="K252" t="s">
        <v>49</v>
      </c>
      <c r="L252" t="s">
        <v>1015</v>
      </c>
      <c r="M252">
        <v>8</v>
      </c>
      <c r="N252" t="s">
        <v>25</v>
      </c>
      <c r="O252" t="s">
        <v>43</v>
      </c>
      <c r="P252">
        <v>128.85</v>
      </c>
      <c r="Q252">
        <v>128.85</v>
      </c>
      <c r="R252" t="str">
        <f>IF(OR(P252&lt;Outliers!$B$5, P252&gt;Outliers!$B$6), "outliers", "")</f>
        <v/>
      </c>
    </row>
    <row r="253" spans="1:18" x14ac:dyDescent="0.25">
      <c r="A253" t="s">
        <v>1016</v>
      </c>
      <c r="B253" s="1">
        <v>45792</v>
      </c>
      <c r="C253">
        <v>2025</v>
      </c>
      <c r="D253" t="s">
        <v>53</v>
      </c>
      <c r="E253" t="s">
        <v>1017</v>
      </c>
      <c r="F253" t="s">
        <v>20</v>
      </c>
      <c r="G253">
        <v>4</v>
      </c>
      <c r="H253">
        <v>14.69</v>
      </c>
      <c r="I253" t="s">
        <v>1018</v>
      </c>
      <c r="J253" t="s">
        <v>72</v>
      </c>
      <c r="K253" t="s">
        <v>40</v>
      </c>
      <c r="L253" t="s">
        <v>1019</v>
      </c>
      <c r="M253">
        <v>9</v>
      </c>
      <c r="O253" t="s">
        <v>43</v>
      </c>
      <c r="P253">
        <v>58.76</v>
      </c>
      <c r="Q253">
        <v>58.76</v>
      </c>
      <c r="R253" t="str">
        <f>IF(OR(P253&lt;Outliers!$B$5, P253&gt;Outliers!$B$6), "outliers", "")</f>
        <v/>
      </c>
    </row>
    <row r="254" spans="1:18" x14ac:dyDescent="0.25">
      <c r="A254" t="s">
        <v>1020</v>
      </c>
      <c r="B254" s="1">
        <v>45555</v>
      </c>
      <c r="C254">
        <v>2024</v>
      </c>
      <c r="D254" t="s">
        <v>28</v>
      </c>
      <c r="E254" t="s">
        <v>1021</v>
      </c>
      <c r="F254" t="s">
        <v>30</v>
      </c>
      <c r="G254">
        <v>4</v>
      </c>
      <c r="H254">
        <v>668.36</v>
      </c>
      <c r="I254" t="s">
        <v>1022</v>
      </c>
      <c r="J254" t="s">
        <v>67</v>
      </c>
      <c r="K254" t="s">
        <v>40</v>
      </c>
      <c r="L254" t="s">
        <v>1023</v>
      </c>
      <c r="M254">
        <v>5</v>
      </c>
      <c r="N254" t="s">
        <v>42</v>
      </c>
      <c r="O254" t="s">
        <v>51</v>
      </c>
      <c r="P254">
        <v>2673.44</v>
      </c>
      <c r="Q254">
        <v>2673.44</v>
      </c>
      <c r="R254" t="str">
        <f>IF(OR(P254&lt;Outliers!$B$5, P254&gt;Outliers!$B$6), "outliers", "")</f>
        <v/>
      </c>
    </row>
    <row r="255" spans="1:18" x14ac:dyDescent="0.25">
      <c r="A255" t="s">
        <v>1024</v>
      </c>
      <c r="B255" s="1">
        <v>45374</v>
      </c>
      <c r="C255">
        <v>2024</v>
      </c>
      <c r="D255" t="s">
        <v>18</v>
      </c>
      <c r="E255" t="s">
        <v>1025</v>
      </c>
      <c r="F255" t="s">
        <v>47</v>
      </c>
      <c r="G255">
        <v>4</v>
      </c>
      <c r="H255">
        <v>413.74</v>
      </c>
      <c r="I255" t="s">
        <v>441</v>
      </c>
      <c r="J255" t="s">
        <v>67</v>
      </c>
      <c r="K255" t="s">
        <v>49</v>
      </c>
      <c r="L255" t="s">
        <v>1026</v>
      </c>
      <c r="M255">
        <v>7</v>
      </c>
      <c r="N255" t="s">
        <v>42</v>
      </c>
      <c r="O255" t="s">
        <v>26</v>
      </c>
      <c r="P255">
        <v>1654.96</v>
      </c>
      <c r="Q255">
        <v>1654.96</v>
      </c>
      <c r="R255" t="str">
        <f>IF(OR(P255&lt;Outliers!$B$5, P255&gt;Outliers!$B$6), "outliers", "")</f>
        <v/>
      </c>
    </row>
    <row r="256" spans="1:18" x14ac:dyDescent="0.25">
      <c r="A256" t="s">
        <v>1027</v>
      </c>
      <c r="B256" s="1">
        <v>45286</v>
      </c>
      <c r="C256">
        <v>2023</v>
      </c>
      <c r="D256" t="s">
        <v>45</v>
      </c>
      <c r="E256" t="s">
        <v>1028</v>
      </c>
      <c r="F256" t="s">
        <v>20</v>
      </c>
      <c r="G256">
        <v>3</v>
      </c>
      <c r="H256">
        <v>263.19</v>
      </c>
      <c r="I256" t="s">
        <v>967</v>
      </c>
      <c r="J256" t="s">
        <v>32</v>
      </c>
      <c r="K256" t="s">
        <v>57</v>
      </c>
      <c r="L256" t="s">
        <v>1029</v>
      </c>
      <c r="M256">
        <v>5</v>
      </c>
      <c r="O256" t="s">
        <v>26</v>
      </c>
      <c r="P256">
        <v>789.57</v>
      </c>
      <c r="Q256">
        <v>789.57</v>
      </c>
      <c r="R256" t="str">
        <f>IF(OR(P256&lt;Outliers!$B$5, P256&gt;Outliers!$B$6), "outliers", "")</f>
        <v/>
      </c>
    </row>
    <row r="257" spans="1:18" x14ac:dyDescent="0.25">
      <c r="A257" t="s">
        <v>1030</v>
      </c>
      <c r="B257" s="1">
        <v>45425</v>
      </c>
      <c r="C257">
        <v>2024</v>
      </c>
      <c r="D257" t="s">
        <v>53</v>
      </c>
      <c r="E257" t="s">
        <v>1031</v>
      </c>
      <c r="F257" t="s">
        <v>20</v>
      </c>
      <c r="G257">
        <v>1</v>
      </c>
      <c r="H257">
        <v>263.95999999999998</v>
      </c>
      <c r="I257" t="s">
        <v>722</v>
      </c>
      <c r="J257" t="s">
        <v>67</v>
      </c>
      <c r="K257" t="s">
        <v>49</v>
      </c>
      <c r="L257" t="s">
        <v>1032</v>
      </c>
      <c r="M257">
        <v>2</v>
      </c>
      <c r="N257" t="s">
        <v>25</v>
      </c>
      <c r="O257" t="s">
        <v>83</v>
      </c>
      <c r="P257">
        <v>263.95999999999998</v>
      </c>
      <c r="Q257">
        <v>263.95999999999998</v>
      </c>
      <c r="R257" t="str">
        <f>IF(OR(P257&lt;Outliers!$B$5, P257&gt;Outliers!$B$6), "outliers", "")</f>
        <v/>
      </c>
    </row>
    <row r="258" spans="1:18" x14ac:dyDescent="0.25">
      <c r="A258" t="s">
        <v>1033</v>
      </c>
      <c r="B258" s="1">
        <v>45838</v>
      </c>
      <c r="C258">
        <v>2025</v>
      </c>
      <c r="D258" t="s">
        <v>53</v>
      </c>
      <c r="E258" t="s">
        <v>1034</v>
      </c>
      <c r="F258" t="s">
        <v>47</v>
      </c>
      <c r="G258">
        <v>5</v>
      </c>
      <c r="H258">
        <v>75.81</v>
      </c>
      <c r="I258" t="s">
        <v>1035</v>
      </c>
      <c r="J258" t="s">
        <v>67</v>
      </c>
      <c r="K258" t="s">
        <v>49</v>
      </c>
      <c r="L258" t="s">
        <v>1036</v>
      </c>
      <c r="M258">
        <v>10</v>
      </c>
      <c r="N258" t="s">
        <v>88</v>
      </c>
      <c r="O258" t="s">
        <v>26</v>
      </c>
      <c r="P258">
        <v>379.05</v>
      </c>
      <c r="Q258">
        <v>379.05</v>
      </c>
      <c r="R258" t="str">
        <f>IF(OR(P258&lt;Outliers!$B$5, P258&gt;Outliers!$B$6), "outliers", "")</f>
        <v/>
      </c>
    </row>
    <row r="259" spans="1:18" x14ac:dyDescent="0.25">
      <c r="A259" t="s">
        <v>1037</v>
      </c>
      <c r="B259" s="1">
        <v>45405</v>
      </c>
      <c r="C259">
        <v>2024</v>
      </c>
      <c r="D259" t="s">
        <v>53</v>
      </c>
      <c r="E259" t="s">
        <v>1038</v>
      </c>
      <c r="F259" t="s">
        <v>30</v>
      </c>
      <c r="G259">
        <v>1</v>
      </c>
      <c r="H259">
        <v>406.22</v>
      </c>
      <c r="I259" t="s">
        <v>1039</v>
      </c>
      <c r="J259" t="s">
        <v>39</v>
      </c>
      <c r="K259" t="s">
        <v>40</v>
      </c>
      <c r="L259" t="s">
        <v>1040</v>
      </c>
      <c r="M259">
        <v>5</v>
      </c>
      <c r="N259" t="s">
        <v>25</v>
      </c>
      <c r="O259" t="s">
        <v>34</v>
      </c>
      <c r="P259">
        <v>406.22</v>
      </c>
      <c r="Q259">
        <v>406.22</v>
      </c>
      <c r="R259" t="str">
        <f>IF(OR(P259&lt;Outliers!$B$5, P259&gt;Outliers!$B$6), "outliers", "")</f>
        <v/>
      </c>
    </row>
    <row r="260" spans="1:18" x14ac:dyDescent="0.25">
      <c r="A260" t="s">
        <v>1041</v>
      </c>
      <c r="B260" s="1">
        <v>45348</v>
      </c>
      <c r="C260">
        <v>2024</v>
      </c>
      <c r="D260" t="s">
        <v>18</v>
      </c>
      <c r="E260" t="s">
        <v>1042</v>
      </c>
      <c r="F260" t="s">
        <v>37</v>
      </c>
      <c r="G260">
        <v>2</v>
      </c>
      <c r="H260">
        <v>103.41</v>
      </c>
      <c r="I260" t="s">
        <v>1043</v>
      </c>
      <c r="J260" t="s">
        <v>32</v>
      </c>
      <c r="K260" t="s">
        <v>23</v>
      </c>
      <c r="L260" t="s">
        <v>1044</v>
      </c>
      <c r="M260">
        <v>2</v>
      </c>
      <c r="N260" t="s">
        <v>42</v>
      </c>
      <c r="O260" t="s">
        <v>34</v>
      </c>
      <c r="P260">
        <v>206.82</v>
      </c>
      <c r="Q260">
        <v>206.82</v>
      </c>
      <c r="R260" t="str">
        <f>IF(OR(P260&lt;Outliers!$B$5, P260&gt;Outliers!$B$6), "outliers", "")</f>
        <v/>
      </c>
    </row>
    <row r="261" spans="1:18" x14ac:dyDescent="0.25">
      <c r="A261" t="s">
        <v>1045</v>
      </c>
      <c r="B261" s="1">
        <v>45088</v>
      </c>
      <c r="C261">
        <v>2023</v>
      </c>
      <c r="D261" t="s">
        <v>53</v>
      </c>
      <c r="E261" t="s">
        <v>1046</v>
      </c>
      <c r="F261" t="s">
        <v>47</v>
      </c>
      <c r="G261">
        <v>4</v>
      </c>
      <c r="H261">
        <v>435.12</v>
      </c>
      <c r="I261" t="s">
        <v>572</v>
      </c>
      <c r="J261" t="s">
        <v>39</v>
      </c>
      <c r="K261" t="s">
        <v>57</v>
      </c>
      <c r="L261" t="s">
        <v>1047</v>
      </c>
      <c r="M261">
        <v>9</v>
      </c>
      <c r="N261" t="s">
        <v>25</v>
      </c>
      <c r="O261" t="s">
        <v>26</v>
      </c>
      <c r="P261">
        <v>1740.48</v>
      </c>
      <c r="Q261">
        <v>1740.48</v>
      </c>
      <c r="R261" t="str">
        <f>IF(OR(P261&lt;Outliers!$B$5, P261&gt;Outliers!$B$6), "outliers", "")</f>
        <v/>
      </c>
    </row>
    <row r="262" spans="1:18" x14ac:dyDescent="0.25">
      <c r="A262" t="s">
        <v>1048</v>
      </c>
      <c r="B262" s="1">
        <v>45063</v>
      </c>
      <c r="C262">
        <v>2023</v>
      </c>
      <c r="D262" t="s">
        <v>53</v>
      </c>
      <c r="E262" t="s">
        <v>1049</v>
      </c>
      <c r="F262" t="s">
        <v>20</v>
      </c>
      <c r="G262">
        <v>2</v>
      </c>
      <c r="H262">
        <v>407.79</v>
      </c>
      <c r="I262" t="s">
        <v>1050</v>
      </c>
      <c r="J262" t="s">
        <v>22</v>
      </c>
      <c r="K262" t="s">
        <v>23</v>
      </c>
      <c r="L262" t="s">
        <v>1051</v>
      </c>
      <c r="M262">
        <v>3</v>
      </c>
      <c r="O262" t="s">
        <v>83</v>
      </c>
      <c r="P262">
        <v>815.58</v>
      </c>
      <c r="Q262">
        <v>815.58</v>
      </c>
      <c r="R262" t="str">
        <f>IF(OR(P262&lt;Outliers!$B$5, P262&gt;Outliers!$B$6), "outliers", "")</f>
        <v/>
      </c>
    </row>
    <row r="263" spans="1:18" x14ac:dyDescent="0.25">
      <c r="A263" t="s">
        <v>1052</v>
      </c>
      <c r="B263" s="1">
        <v>45805</v>
      </c>
      <c r="C263">
        <v>2025</v>
      </c>
      <c r="D263" t="s">
        <v>53</v>
      </c>
      <c r="E263" t="s">
        <v>1053</v>
      </c>
      <c r="F263" t="s">
        <v>30</v>
      </c>
      <c r="G263">
        <v>5</v>
      </c>
      <c r="H263">
        <v>173.65</v>
      </c>
      <c r="I263" t="s">
        <v>1054</v>
      </c>
      <c r="J263" t="s">
        <v>67</v>
      </c>
      <c r="K263" t="s">
        <v>57</v>
      </c>
      <c r="L263" t="s">
        <v>1055</v>
      </c>
      <c r="M263">
        <v>9</v>
      </c>
      <c r="N263" t="s">
        <v>25</v>
      </c>
      <c r="O263" t="s">
        <v>43</v>
      </c>
      <c r="P263">
        <v>868.25</v>
      </c>
      <c r="Q263">
        <v>868.25</v>
      </c>
      <c r="R263" t="str">
        <f>IF(OR(P263&lt;Outliers!$B$5, P263&gt;Outliers!$B$6), "outliers", "")</f>
        <v/>
      </c>
    </row>
    <row r="264" spans="1:18" x14ac:dyDescent="0.25">
      <c r="A264" t="s">
        <v>1056</v>
      </c>
      <c r="B264" s="1">
        <v>44936</v>
      </c>
      <c r="C264">
        <v>2023</v>
      </c>
      <c r="D264" t="s">
        <v>18</v>
      </c>
      <c r="E264" t="s">
        <v>1057</v>
      </c>
      <c r="F264" t="s">
        <v>30</v>
      </c>
      <c r="G264">
        <v>4</v>
      </c>
      <c r="H264">
        <v>249.07</v>
      </c>
      <c r="I264" t="s">
        <v>579</v>
      </c>
      <c r="J264" t="s">
        <v>39</v>
      </c>
      <c r="K264" t="s">
        <v>49</v>
      </c>
      <c r="L264" t="s">
        <v>1058</v>
      </c>
      <c r="M264">
        <v>5</v>
      </c>
      <c r="N264" t="s">
        <v>88</v>
      </c>
      <c r="O264" t="s">
        <v>34</v>
      </c>
      <c r="P264">
        <v>996.28</v>
      </c>
      <c r="Q264">
        <v>996.28</v>
      </c>
      <c r="R264" t="str">
        <f>IF(OR(P264&lt;Outliers!$B$5, P264&gt;Outliers!$B$6), "outliers", "")</f>
        <v/>
      </c>
    </row>
    <row r="265" spans="1:18" x14ac:dyDescent="0.25">
      <c r="A265" t="s">
        <v>1059</v>
      </c>
      <c r="B265" s="1">
        <v>45010</v>
      </c>
      <c r="C265">
        <v>2023</v>
      </c>
      <c r="D265" t="s">
        <v>18</v>
      </c>
      <c r="E265" t="s">
        <v>1060</v>
      </c>
      <c r="F265" t="s">
        <v>30</v>
      </c>
      <c r="G265">
        <v>4</v>
      </c>
      <c r="H265">
        <v>434.85</v>
      </c>
      <c r="I265" t="s">
        <v>1061</v>
      </c>
      <c r="J265" t="s">
        <v>39</v>
      </c>
      <c r="K265" t="s">
        <v>96</v>
      </c>
      <c r="L265" t="s">
        <v>1062</v>
      </c>
      <c r="M265">
        <v>4</v>
      </c>
      <c r="N265" t="s">
        <v>88</v>
      </c>
      <c r="O265" t="s">
        <v>83</v>
      </c>
      <c r="P265">
        <v>1739.4</v>
      </c>
      <c r="Q265">
        <v>1739.4</v>
      </c>
      <c r="R265" t="str">
        <f>IF(OR(P265&lt;Outliers!$B$5, P265&gt;Outliers!$B$6), "outliers", "")</f>
        <v/>
      </c>
    </row>
    <row r="266" spans="1:18" x14ac:dyDescent="0.25">
      <c r="A266" t="s">
        <v>1063</v>
      </c>
      <c r="B266" s="1">
        <v>45507</v>
      </c>
      <c r="C266">
        <v>2024</v>
      </c>
      <c r="D266" t="s">
        <v>28</v>
      </c>
      <c r="E266" t="s">
        <v>1064</v>
      </c>
      <c r="F266" t="s">
        <v>37</v>
      </c>
      <c r="G266">
        <v>1</v>
      </c>
      <c r="H266">
        <v>436.77</v>
      </c>
      <c r="I266" t="s">
        <v>1065</v>
      </c>
      <c r="J266" t="s">
        <v>72</v>
      </c>
      <c r="K266" t="s">
        <v>49</v>
      </c>
      <c r="L266" t="s">
        <v>1066</v>
      </c>
      <c r="M266">
        <v>5</v>
      </c>
      <c r="N266" t="s">
        <v>42</v>
      </c>
      <c r="O266" t="s">
        <v>83</v>
      </c>
      <c r="P266">
        <v>436.77</v>
      </c>
      <c r="Q266">
        <v>436.77</v>
      </c>
      <c r="R266" t="str">
        <f>IF(OR(P266&lt;Outliers!$B$5, P266&gt;Outliers!$B$6), "outliers", "")</f>
        <v/>
      </c>
    </row>
    <row r="267" spans="1:18" x14ac:dyDescent="0.25">
      <c r="A267" t="s">
        <v>1067</v>
      </c>
      <c r="B267" s="1">
        <v>45282</v>
      </c>
      <c r="C267">
        <v>2023</v>
      </c>
      <c r="D267" t="s">
        <v>45</v>
      </c>
      <c r="E267" t="s">
        <v>1068</v>
      </c>
      <c r="F267" t="s">
        <v>55</v>
      </c>
      <c r="G267">
        <v>1</v>
      </c>
      <c r="H267">
        <v>572.13</v>
      </c>
      <c r="I267" t="s">
        <v>1069</v>
      </c>
      <c r="J267" t="s">
        <v>22</v>
      </c>
      <c r="K267" t="s">
        <v>40</v>
      </c>
      <c r="L267" t="s">
        <v>1070</v>
      </c>
      <c r="M267">
        <v>4</v>
      </c>
      <c r="N267" t="s">
        <v>25</v>
      </c>
      <c r="O267" t="s">
        <v>83</v>
      </c>
      <c r="P267">
        <v>572.13</v>
      </c>
      <c r="Q267">
        <v>572.13</v>
      </c>
      <c r="R267" t="str">
        <f>IF(OR(P267&lt;Outliers!$B$5, P267&gt;Outliers!$B$6), "outliers", "")</f>
        <v/>
      </c>
    </row>
    <row r="268" spans="1:18" x14ac:dyDescent="0.25">
      <c r="A268" t="s">
        <v>1071</v>
      </c>
      <c r="B268" s="1">
        <v>45451</v>
      </c>
      <c r="C268">
        <v>2024</v>
      </c>
      <c r="D268" t="s">
        <v>53</v>
      </c>
      <c r="E268" t="s">
        <v>1072</v>
      </c>
      <c r="F268" t="s">
        <v>47</v>
      </c>
      <c r="G268">
        <v>4</v>
      </c>
      <c r="H268">
        <v>583.07000000000005</v>
      </c>
      <c r="I268" t="s">
        <v>1073</v>
      </c>
      <c r="J268" t="s">
        <v>39</v>
      </c>
      <c r="K268" t="s">
        <v>40</v>
      </c>
      <c r="L268" t="s">
        <v>1074</v>
      </c>
      <c r="M268">
        <v>6</v>
      </c>
      <c r="N268" t="s">
        <v>42</v>
      </c>
      <c r="O268" t="s">
        <v>34</v>
      </c>
      <c r="P268">
        <v>2332.2800000000002</v>
      </c>
      <c r="Q268">
        <v>2332.2800000000002</v>
      </c>
      <c r="R268" t="str">
        <f>IF(OR(P268&lt;Outliers!$B$5, P268&gt;Outliers!$B$6), "outliers", "")</f>
        <v/>
      </c>
    </row>
    <row r="269" spans="1:18" x14ac:dyDescent="0.25">
      <c r="A269" t="s">
        <v>1075</v>
      </c>
      <c r="B269" s="1">
        <v>45764</v>
      </c>
      <c r="C269">
        <v>2025</v>
      </c>
      <c r="D269" t="s">
        <v>53</v>
      </c>
      <c r="E269" t="s">
        <v>1076</v>
      </c>
      <c r="F269" t="s">
        <v>47</v>
      </c>
      <c r="G269">
        <v>5</v>
      </c>
      <c r="H269">
        <v>468.51</v>
      </c>
      <c r="I269" t="s">
        <v>1077</v>
      </c>
      <c r="J269" t="s">
        <v>22</v>
      </c>
      <c r="K269" t="s">
        <v>57</v>
      </c>
      <c r="L269" t="s">
        <v>1078</v>
      </c>
      <c r="M269">
        <v>9</v>
      </c>
      <c r="O269" t="s">
        <v>51</v>
      </c>
      <c r="P269">
        <v>2342.5500000000002</v>
      </c>
      <c r="Q269">
        <v>2342.5500000000002</v>
      </c>
      <c r="R269" t="str">
        <f>IF(OR(P269&lt;Outliers!$B$5, P269&gt;Outliers!$B$6), "outliers", "")</f>
        <v/>
      </c>
    </row>
    <row r="270" spans="1:18" x14ac:dyDescent="0.25">
      <c r="A270" t="s">
        <v>1079</v>
      </c>
      <c r="B270" s="1">
        <v>45149</v>
      </c>
      <c r="C270">
        <v>2023</v>
      </c>
      <c r="D270" t="s">
        <v>28</v>
      </c>
      <c r="E270" t="s">
        <v>1080</v>
      </c>
      <c r="F270" t="s">
        <v>30</v>
      </c>
      <c r="G270">
        <v>2</v>
      </c>
      <c r="H270">
        <v>423.88</v>
      </c>
      <c r="I270" t="s">
        <v>1081</v>
      </c>
      <c r="J270" t="s">
        <v>22</v>
      </c>
      <c r="K270" t="s">
        <v>57</v>
      </c>
      <c r="L270" t="s">
        <v>1082</v>
      </c>
      <c r="M270">
        <v>7</v>
      </c>
      <c r="N270" t="s">
        <v>25</v>
      </c>
      <c r="O270" t="s">
        <v>34</v>
      </c>
      <c r="P270">
        <v>847.76</v>
      </c>
      <c r="Q270">
        <v>847.76</v>
      </c>
      <c r="R270" t="str">
        <f>IF(OR(P270&lt;Outliers!$B$5, P270&gt;Outliers!$B$6), "outliers", "")</f>
        <v/>
      </c>
    </row>
    <row r="271" spans="1:18" x14ac:dyDescent="0.25">
      <c r="A271" t="s">
        <v>1083</v>
      </c>
      <c r="B271" s="1">
        <v>45255</v>
      </c>
      <c r="C271">
        <v>2023</v>
      </c>
      <c r="D271" t="s">
        <v>45</v>
      </c>
      <c r="E271" t="s">
        <v>1084</v>
      </c>
      <c r="F271" t="s">
        <v>37</v>
      </c>
      <c r="G271">
        <v>4</v>
      </c>
      <c r="H271">
        <v>663.67</v>
      </c>
      <c r="I271" t="s">
        <v>334</v>
      </c>
      <c r="J271" t="s">
        <v>39</v>
      </c>
      <c r="K271" t="s">
        <v>96</v>
      </c>
      <c r="L271" t="s">
        <v>1085</v>
      </c>
      <c r="M271">
        <v>7</v>
      </c>
      <c r="N271" t="s">
        <v>42</v>
      </c>
      <c r="O271" t="s">
        <v>83</v>
      </c>
      <c r="P271">
        <v>2654.68</v>
      </c>
      <c r="Q271">
        <v>2654.68</v>
      </c>
      <c r="R271" t="str">
        <f>IF(OR(P271&lt;Outliers!$B$5, P271&gt;Outliers!$B$6), "outliers", "")</f>
        <v/>
      </c>
    </row>
    <row r="272" spans="1:18" x14ac:dyDescent="0.25">
      <c r="A272" t="s">
        <v>1086</v>
      </c>
      <c r="B272" s="1">
        <v>45081</v>
      </c>
      <c r="C272">
        <v>2023</v>
      </c>
      <c r="D272" t="s">
        <v>53</v>
      </c>
      <c r="E272" t="s">
        <v>1087</v>
      </c>
      <c r="F272" t="s">
        <v>55</v>
      </c>
      <c r="G272">
        <v>4</v>
      </c>
      <c r="H272">
        <v>309.91000000000003</v>
      </c>
      <c r="I272" t="s">
        <v>1088</v>
      </c>
      <c r="J272" t="s">
        <v>22</v>
      </c>
      <c r="K272" t="s">
        <v>23</v>
      </c>
      <c r="L272" t="s">
        <v>1089</v>
      </c>
      <c r="M272">
        <v>5</v>
      </c>
      <c r="N272" t="s">
        <v>88</v>
      </c>
      <c r="O272" t="s">
        <v>83</v>
      </c>
      <c r="P272">
        <v>1239.6400000000001</v>
      </c>
      <c r="Q272">
        <v>1239.6400000000001</v>
      </c>
      <c r="R272" t="str">
        <f>IF(OR(P272&lt;Outliers!$B$5, P272&gt;Outliers!$B$6), "outliers", "")</f>
        <v/>
      </c>
    </row>
    <row r="273" spans="1:18" x14ac:dyDescent="0.25">
      <c r="A273" t="s">
        <v>1090</v>
      </c>
      <c r="B273" s="1">
        <v>45013</v>
      </c>
      <c r="C273">
        <v>2023</v>
      </c>
      <c r="D273" t="s">
        <v>18</v>
      </c>
      <c r="E273" t="s">
        <v>1091</v>
      </c>
      <c r="F273" t="s">
        <v>20</v>
      </c>
      <c r="G273">
        <v>1</v>
      </c>
      <c r="H273">
        <v>542.07000000000005</v>
      </c>
      <c r="I273" t="s">
        <v>1092</v>
      </c>
      <c r="J273" t="s">
        <v>72</v>
      </c>
      <c r="K273" t="s">
        <v>23</v>
      </c>
      <c r="L273" t="s">
        <v>1093</v>
      </c>
      <c r="M273">
        <v>6</v>
      </c>
      <c r="N273" t="s">
        <v>88</v>
      </c>
      <c r="O273" t="s">
        <v>34</v>
      </c>
      <c r="P273">
        <v>542.07000000000005</v>
      </c>
      <c r="Q273">
        <v>542.07000000000005</v>
      </c>
      <c r="R273" t="str">
        <f>IF(OR(P273&lt;Outliers!$B$5, P273&gt;Outliers!$B$6), "outliers", "")</f>
        <v/>
      </c>
    </row>
    <row r="274" spans="1:18" x14ac:dyDescent="0.25">
      <c r="A274" t="s">
        <v>1094</v>
      </c>
      <c r="B274" s="1">
        <v>45188</v>
      </c>
      <c r="C274">
        <v>2023</v>
      </c>
      <c r="D274" t="s">
        <v>28</v>
      </c>
      <c r="E274" t="s">
        <v>1095</v>
      </c>
      <c r="F274" t="s">
        <v>47</v>
      </c>
      <c r="G274">
        <v>2</v>
      </c>
      <c r="H274">
        <v>399.32</v>
      </c>
      <c r="I274" t="s">
        <v>1096</v>
      </c>
      <c r="J274" t="s">
        <v>32</v>
      </c>
      <c r="K274" t="s">
        <v>96</v>
      </c>
      <c r="L274" t="s">
        <v>1097</v>
      </c>
      <c r="M274">
        <v>6</v>
      </c>
      <c r="N274" t="s">
        <v>88</v>
      </c>
      <c r="O274" t="s">
        <v>26</v>
      </c>
      <c r="P274">
        <v>798.64</v>
      </c>
      <c r="Q274">
        <v>798.64</v>
      </c>
      <c r="R274" t="str">
        <f>IF(OR(P274&lt;Outliers!$B$5, P274&gt;Outliers!$B$6), "outliers", "")</f>
        <v/>
      </c>
    </row>
    <row r="275" spans="1:18" x14ac:dyDescent="0.25">
      <c r="A275" t="s">
        <v>1098</v>
      </c>
      <c r="B275" s="1">
        <v>45592</v>
      </c>
      <c r="C275">
        <v>2024</v>
      </c>
      <c r="D275" t="s">
        <v>45</v>
      </c>
      <c r="E275" t="s">
        <v>1099</v>
      </c>
      <c r="F275" t="s">
        <v>37</v>
      </c>
      <c r="G275">
        <v>2</v>
      </c>
      <c r="H275">
        <v>238.25</v>
      </c>
      <c r="I275" t="s">
        <v>1100</v>
      </c>
      <c r="J275" t="s">
        <v>32</v>
      </c>
      <c r="K275" t="s">
        <v>40</v>
      </c>
      <c r="L275" t="s">
        <v>1101</v>
      </c>
      <c r="M275">
        <v>7</v>
      </c>
      <c r="N275" t="s">
        <v>42</v>
      </c>
      <c r="O275" t="s">
        <v>43</v>
      </c>
      <c r="P275">
        <v>476.5</v>
      </c>
      <c r="Q275">
        <v>476.5</v>
      </c>
      <c r="R275" t="str">
        <f>IF(OR(P275&lt;Outliers!$B$5, P275&gt;Outliers!$B$6), "outliers", "")</f>
        <v/>
      </c>
    </row>
    <row r="276" spans="1:18" x14ac:dyDescent="0.25">
      <c r="A276" t="s">
        <v>1102</v>
      </c>
      <c r="B276" s="1">
        <v>44961</v>
      </c>
      <c r="C276">
        <v>2023</v>
      </c>
      <c r="D276" t="s">
        <v>18</v>
      </c>
      <c r="E276" t="s">
        <v>1103</v>
      </c>
      <c r="F276" t="s">
        <v>30</v>
      </c>
      <c r="G276">
        <v>2</v>
      </c>
      <c r="H276">
        <v>182.4</v>
      </c>
      <c r="I276" t="s">
        <v>1104</v>
      </c>
      <c r="J276" t="s">
        <v>67</v>
      </c>
      <c r="K276" t="s">
        <v>40</v>
      </c>
      <c r="L276" t="s">
        <v>1105</v>
      </c>
      <c r="M276">
        <v>5</v>
      </c>
      <c r="N276" t="s">
        <v>25</v>
      </c>
      <c r="O276" t="s">
        <v>34</v>
      </c>
      <c r="P276">
        <v>364.8</v>
      </c>
      <c r="Q276">
        <v>364.8</v>
      </c>
      <c r="R276" t="str">
        <f>IF(OR(P276&lt;Outliers!$B$5, P276&gt;Outliers!$B$6), "outliers", "")</f>
        <v/>
      </c>
    </row>
    <row r="277" spans="1:18" x14ac:dyDescent="0.25">
      <c r="A277" t="s">
        <v>1106</v>
      </c>
      <c r="B277" s="1">
        <v>45234</v>
      </c>
      <c r="C277">
        <v>2023</v>
      </c>
      <c r="D277" t="s">
        <v>45</v>
      </c>
      <c r="E277" t="s">
        <v>1107</v>
      </c>
      <c r="F277" t="s">
        <v>47</v>
      </c>
      <c r="G277">
        <v>2</v>
      </c>
      <c r="H277">
        <v>65.069999999999993</v>
      </c>
      <c r="I277" t="s">
        <v>1108</v>
      </c>
      <c r="J277" t="s">
        <v>39</v>
      </c>
      <c r="K277" t="s">
        <v>40</v>
      </c>
      <c r="L277" t="s">
        <v>1109</v>
      </c>
      <c r="M277">
        <v>4</v>
      </c>
      <c r="N277" t="s">
        <v>25</v>
      </c>
      <c r="O277" t="s">
        <v>83</v>
      </c>
      <c r="P277">
        <v>130.13999999999999</v>
      </c>
      <c r="Q277">
        <v>130.13999999999999</v>
      </c>
      <c r="R277" t="str">
        <f>IF(OR(P277&lt;Outliers!$B$5, P277&gt;Outliers!$B$6), "outliers", "")</f>
        <v/>
      </c>
    </row>
    <row r="278" spans="1:18" x14ac:dyDescent="0.25">
      <c r="A278" t="s">
        <v>1110</v>
      </c>
      <c r="B278" s="1">
        <v>45745</v>
      </c>
      <c r="C278">
        <v>2025</v>
      </c>
      <c r="D278" t="s">
        <v>18</v>
      </c>
      <c r="E278" t="s">
        <v>1111</v>
      </c>
      <c r="F278" t="s">
        <v>55</v>
      </c>
      <c r="G278">
        <v>2</v>
      </c>
      <c r="H278">
        <v>600.57000000000005</v>
      </c>
      <c r="I278" t="s">
        <v>1112</v>
      </c>
      <c r="J278" t="s">
        <v>22</v>
      </c>
      <c r="K278" t="s">
        <v>49</v>
      </c>
      <c r="L278" t="s">
        <v>1113</v>
      </c>
      <c r="M278">
        <v>3</v>
      </c>
      <c r="N278" t="s">
        <v>88</v>
      </c>
      <c r="O278" t="s">
        <v>26</v>
      </c>
      <c r="P278">
        <v>1201.1400000000001</v>
      </c>
      <c r="Q278">
        <v>1201.1400000000001</v>
      </c>
      <c r="R278" t="str">
        <f>IF(OR(P278&lt;Outliers!$B$5, P278&gt;Outliers!$B$6), "outliers", "")</f>
        <v/>
      </c>
    </row>
    <row r="279" spans="1:18" x14ac:dyDescent="0.25">
      <c r="A279" t="s">
        <v>1114</v>
      </c>
      <c r="B279" s="1">
        <v>45544</v>
      </c>
      <c r="C279">
        <v>2024</v>
      </c>
      <c r="D279" t="s">
        <v>28</v>
      </c>
      <c r="E279" t="s">
        <v>1115</v>
      </c>
      <c r="F279" t="s">
        <v>47</v>
      </c>
      <c r="G279">
        <v>5</v>
      </c>
      <c r="H279">
        <v>90.92</v>
      </c>
      <c r="I279" t="s">
        <v>1116</v>
      </c>
      <c r="J279" t="s">
        <v>39</v>
      </c>
      <c r="K279" t="s">
        <v>57</v>
      </c>
      <c r="L279" t="s">
        <v>1117</v>
      </c>
      <c r="M279">
        <v>9</v>
      </c>
      <c r="N279" t="s">
        <v>25</v>
      </c>
      <c r="O279" t="s">
        <v>51</v>
      </c>
      <c r="P279">
        <v>454.6</v>
      </c>
      <c r="Q279">
        <v>454.6</v>
      </c>
      <c r="R279" t="str">
        <f>IF(OR(P279&lt;Outliers!$B$5, P279&gt;Outliers!$B$6), "outliers", "")</f>
        <v/>
      </c>
    </row>
    <row r="280" spans="1:18" x14ac:dyDescent="0.25">
      <c r="A280" t="s">
        <v>1118</v>
      </c>
      <c r="B280" s="1">
        <v>45614</v>
      </c>
      <c r="C280">
        <v>2024</v>
      </c>
      <c r="D280" t="s">
        <v>45</v>
      </c>
      <c r="E280" t="s">
        <v>1119</v>
      </c>
      <c r="F280" t="s">
        <v>65</v>
      </c>
      <c r="G280">
        <v>5</v>
      </c>
      <c r="H280">
        <v>362.46</v>
      </c>
      <c r="I280" t="s">
        <v>1120</v>
      </c>
      <c r="J280" t="s">
        <v>72</v>
      </c>
      <c r="K280" t="s">
        <v>57</v>
      </c>
      <c r="L280" t="s">
        <v>1121</v>
      </c>
      <c r="M280">
        <v>6</v>
      </c>
      <c r="N280" t="s">
        <v>42</v>
      </c>
      <c r="O280" t="s">
        <v>26</v>
      </c>
      <c r="P280">
        <v>1812.3</v>
      </c>
      <c r="Q280">
        <v>1812.3</v>
      </c>
      <c r="R280" t="str">
        <f>IF(OR(P280&lt;Outliers!$B$5, P280&gt;Outliers!$B$6), "outliers", "")</f>
        <v/>
      </c>
    </row>
    <row r="281" spans="1:18" x14ac:dyDescent="0.25">
      <c r="A281" t="s">
        <v>1122</v>
      </c>
      <c r="B281" s="1">
        <v>45219</v>
      </c>
      <c r="C281">
        <v>2023</v>
      </c>
      <c r="D281" t="s">
        <v>45</v>
      </c>
      <c r="E281" t="s">
        <v>1123</v>
      </c>
      <c r="F281" t="s">
        <v>47</v>
      </c>
      <c r="G281">
        <v>3</v>
      </c>
      <c r="H281">
        <v>55.01</v>
      </c>
      <c r="I281" t="s">
        <v>1124</v>
      </c>
      <c r="J281" t="s">
        <v>32</v>
      </c>
      <c r="K281" t="s">
        <v>96</v>
      </c>
      <c r="L281" t="s">
        <v>1125</v>
      </c>
      <c r="M281">
        <v>7</v>
      </c>
      <c r="N281" t="s">
        <v>88</v>
      </c>
      <c r="O281" t="s">
        <v>43</v>
      </c>
      <c r="P281">
        <v>165.03</v>
      </c>
      <c r="Q281">
        <v>165.03</v>
      </c>
      <c r="R281" t="str">
        <f>IF(OR(P281&lt;Outliers!$B$5, P281&gt;Outliers!$B$6), "outliers", "")</f>
        <v/>
      </c>
    </row>
    <row r="282" spans="1:18" x14ac:dyDescent="0.25">
      <c r="A282" t="s">
        <v>1126</v>
      </c>
      <c r="B282" s="1">
        <v>45012</v>
      </c>
      <c r="C282">
        <v>2023</v>
      </c>
      <c r="D282" t="s">
        <v>18</v>
      </c>
      <c r="E282" t="s">
        <v>1127</v>
      </c>
      <c r="F282" t="s">
        <v>37</v>
      </c>
      <c r="G282">
        <v>3</v>
      </c>
      <c r="H282">
        <v>404.62</v>
      </c>
      <c r="I282" t="s">
        <v>1128</v>
      </c>
      <c r="J282" t="s">
        <v>67</v>
      </c>
      <c r="K282" t="s">
        <v>57</v>
      </c>
      <c r="L282" t="s">
        <v>1129</v>
      </c>
      <c r="M282">
        <v>6</v>
      </c>
      <c r="N282" t="s">
        <v>42</v>
      </c>
      <c r="O282" t="s">
        <v>26</v>
      </c>
      <c r="P282">
        <v>1213.8599999999999</v>
      </c>
      <c r="Q282">
        <v>1213.8599999999999</v>
      </c>
      <c r="R282" t="str">
        <f>IF(OR(P282&lt;Outliers!$B$5, P282&gt;Outliers!$B$6), "outliers", "")</f>
        <v/>
      </c>
    </row>
    <row r="283" spans="1:18" x14ac:dyDescent="0.25">
      <c r="A283" t="s">
        <v>1130</v>
      </c>
      <c r="B283" s="1">
        <v>45134</v>
      </c>
      <c r="C283">
        <v>2023</v>
      </c>
      <c r="D283" t="s">
        <v>28</v>
      </c>
      <c r="E283" t="s">
        <v>1131</v>
      </c>
      <c r="F283" t="s">
        <v>80</v>
      </c>
      <c r="G283">
        <v>4</v>
      </c>
      <c r="H283">
        <v>654.79</v>
      </c>
      <c r="I283" t="s">
        <v>1132</v>
      </c>
      <c r="J283" t="s">
        <v>72</v>
      </c>
      <c r="K283" t="s">
        <v>96</v>
      </c>
      <c r="L283" t="s">
        <v>1133</v>
      </c>
      <c r="M283">
        <v>9</v>
      </c>
      <c r="O283" t="s">
        <v>34</v>
      </c>
      <c r="P283">
        <v>2619.16</v>
      </c>
      <c r="Q283">
        <v>2619.16</v>
      </c>
      <c r="R283" t="str">
        <f>IF(OR(P283&lt;Outliers!$B$5, P283&gt;Outliers!$B$6), "outliers", "")</f>
        <v/>
      </c>
    </row>
    <row r="284" spans="1:18" x14ac:dyDescent="0.25">
      <c r="A284" t="s">
        <v>1134</v>
      </c>
      <c r="B284" s="1">
        <v>45769</v>
      </c>
      <c r="C284">
        <v>2025</v>
      </c>
      <c r="D284" t="s">
        <v>53</v>
      </c>
      <c r="E284" t="s">
        <v>1135</v>
      </c>
      <c r="F284" t="s">
        <v>55</v>
      </c>
      <c r="G284">
        <v>4</v>
      </c>
      <c r="H284">
        <v>637.79</v>
      </c>
      <c r="I284" t="s">
        <v>1136</v>
      </c>
      <c r="J284" t="s">
        <v>67</v>
      </c>
      <c r="K284" t="s">
        <v>40</v>
      </c>
      <c r="L284" t="s">
        <v>1137</v>
      </c>
      <c r="M284">
        <v>9</v>
      </c>
      <c r="N284" t="s">
        <v>42</v>
      </c>
      <c r="O284" t="s">
        <v>83</v>
      </c>
      <c r="P284">
        <v>2551.16</v>
      </c>
      <c r="Q284">
        <v>2551.16</v>
      </c>
      <c r="R284" t="str">
        <f>IF(OR(P284&lt;Outliers!$B$5, P284&gt;Outliers!$B$6), "outliers", "")</f>
        <v/>
      </c>
    </row>
    <row r="285" spans="1:18" x14ac:dyDescent="0.25">
      <c r="A285" t="s">
        <v>1138</v>
      </c>
      <c r="B285" s="1">
        <v>45716</v>
      </c>
      <c r="C285">
        <v>2025</v>
      </c>
      <c r="D285" t="s">
        <v>18</v>
      </c>
      <c r="E285" t="s">
        <v>1139</v>
      </c>
      <c r="F285" t="s">
        <v>65</v>
      </c>
      <c r="G285">
        <v>4</v>
      </c>
      <c r="H285">
        <v>540.33000000000004</v>
      </c>
      <c r="I285" t="s">
        <v>1140</v>
      </c>
      <c r="J285" t="s">
        <v>72</v>
      </c>
      <c r="K285" t="s">
        <v>23</v>
      </c>
      <c r="L285" t="s">
        <v>1141</v>
      </c>
      <c r="M285">
        <v>6</v>
      </c>
      <c r="O285" t="s">
        <v>83</v>
      </c>
      <c r="P285">
        <v>2161.3200000000002</v>
      </c>
      <c r="Q285">
        <v>2161.3200000000002</v>
      </c>
      <c r="R285" t="str">
        <f>IF(OR(P285&lt;Outliers!$B$5, P285&gt;Outliers!$B$6), "outliers", "")</f>
        <v/>
      </c>
    </row>
    <row r="286" spans="1:18" x14ac:dyDescent="0.25">
      <c r="A286" t="s">
        <v>1142</v>
      </c>
      <c r="B286" s="1">
        <v>44973</v>
      </c>
      <c r="C286">
        <v>2023</v>
      </c>
      <c r="D286" t="s">
        <v>18</v>
      </c>
      <c r="E286" t="s">
        <v>1143</v>
      </c>
      <c r="F286" t="s">
        <v>65</v>
      </c>
      <c r="G286">
        <v>5</v>
      </c>
      <c r="H286">
        <v>208.17</v>
      </c>
      <c r="I286" t="s">
        <v>1144</v>
      </c>
      <c r="J286" t="s">
        <v>39</v>
      </c>
      <c r="K286" t="s">
        <v>49</v>
      </c>
      <c r="L286" t="s">
        <v>1145</v>
      </c>
      <c r="M286">
        <v>6</v>
      </c>
      <c r="N286" t="s">
        <v>25</v>
      </c>
      <c r="O286" t="s">
        <v>51</v>
      </c>
      <c r="P286">
        <v>1040.8499999999999</v>
      </c>
      <c r="Q286">
        <v>1040.8499999999999</v>
      </c>
      <c r="R286" t="str">
        <f>IF(OR(P286&lt;Outliers!$B$5, P286&gt;Outliers!$B$6), "outliers", "")</f>
        <v/>
      </c>
    </row>
    <row r="287" spans="1:18" x14ac:dyDescent="0.25">
      <c r="A287" t="s">
        <v>1146</v>
      </c>
      <c r="B287" s="1">
        <v>45818</v>
      </c>
      <c r="C287">
        <v>2025</v>
      </c>
      <c r="D287" t="s">
        <v>53</v>
      </c>
      <c r="E287" t="s">
        <v>1147</v>
      </c>
      <c r="F287" t="s">
        <v>30</v>
      </c>
      <c r="G287">
        <v>1</v>
      </c>
      <c r="H287">
        <v>338.31</v>
      </c>
      <c r="I287" t="s">
        <v>1100</v>
      </c>
      <c r="J287" t="s">
        <v>32</v>
      </c>
      <c r="K287" t="s">
        <v>57</v>
      </c>
      <c r="L287" t="s">
        <v>1148</v>
      </c>
      <c r="M287">
        <v>3</v>
      </c>
      <c r="O287" t="s">
        <v>83</v>
      </c>
      <c r="P287">
        <v>338.31</v>
      </c>
      <c r="Q287">
        <v>338.31</v>
      </c>
      <c r="R287" t="str">
        <f>IF(OR(P287&lt;Outliers!$B$5, P287&gt;Outliers!$B$6), "outliers", "")</f>
        <v/>
      </c>
    </row>
    <row r="288" spans="1:18" x14ac:dyDescent="0.25">
      <c r="A288" t="s">
        <v>1149</v>
      </c>
      <c r="B288" s="1">
        <v>45754</v>
      </c>
      <c r="C288">
        <v>2025</v>
      </c>
      <c r="D288" t="s">
        <v>53</v>
      </c>
      <c r="E288" t="s">
        <v>1150</v>
      </c>
      <c r="F288" t="s">
        <v>20</v>
      </c>
      <c r="G288">
        <v>3</v>
      </c>
      <c r="H288">
        <v>139.44999999999999</v>
      </c>
      <c r="I288" t="s">
        <v>517</v>
      </c>
      <c r="J288" t="s">
        <v>67</v>
      </c>
      <c r="K288" t="s">
        <v>49</v>
      </c>
      <c r="L288" t="s">
        <v>1151</v>
      </c>
      <c r="M288">
        <v>8</v>
      </c>
      <c r="N288" t="s">
        <v>88</v>
      </c>
      <c r="O288" t="s">
        <v>83</v>
      </c>
      <c r="P288">
        <v>418.35</v>
      </c>
      <c r="Q288">
        <v>418.35</v>
      </c>
      <c r="R288" t="str">
        <f>IF(OR(P288&lt;Outliers!$B$5, P288&gt;Outliers!$B$6), "outliers", "")</f>
        <v/>
      </c>
    </row>
    <row r="289" spans="1:18" x14ac:dyDescent="0.25">
      <c r="A289" t="s">
        <v>1152</v>
      </c>
      <c r="B289" s="1">
        <v>45254</v>
      </c>
      <c r="C289">
        <v>2023</v>
      </c>
      <c r="D289" t="s">
        <v>45</v>
      </c>
      <c r="E289" t="s">
        <v>1153</v>
      </c>
      <c r="F289" t="s">
        <v>47</v>
      </c>
      <c r="G289">
        <v>4</v>
      </c>
      <c r="H289">
        <v>655.17999999999995</v>
      </c>
      <c r="I289" t="s">
        <v>1154</v>
      </c>
      <c r="J289" t="s">
        <v>32</v>
      </c>
      <c r="K289" t="s">
        <v>23</v>
      </c>
      <c r="L289" t="s">
        <v>1155</v>
      </c>
      <c r="M289">
        <v>5</v>
      </c>
      <c r="O289" t="s">
        <v>51</v>
      </c>
      <c r="P289">
        <v>2620.7199999999998</v>
      </c>
      <c r="Q289">
        <v>2620.7199999999998</v>
      </c>
      <c r="R289" t="str">
        <f>IF(OR(P289&lt;Outliers!$B$5, P289&gt;Outliers!$B$6), "outliers", "")</f>
        <v/>
      </c>
    </row>
    <row r="290" spans="1:18" x14ac:dyDescent="0.25">
      <c r="A290" t="s">
        <v>1156</v>
      </c>
      <c r="B290" s="1">
        <v>44997</v>
      </c>
      <c r="C290">
        <v>2023</v>
      </c>
      <c r="D290" t="s">
        <v>18</v>
      </c>
      <c r="E290" t="s">
        <v>1157</v>
      </c>
      <c r="F290" t="s">
        <v>65</v>
      </c>
      <c r="G290">
        <v>4</v>
      </c>
      <c r="H290">
        <v>512.75</v>
      </c>
      <c r="I290" t="s">
        <v>1158</v>
      </c>
      <c r="J290" t="s">
        <v>22</v>
      </c>
      <c r="K290" t="s">
        <v>49</v>
      </c>
      <c r="L290" t="s">
        <v>1159</v>
      </c>
      <c r="M290">
        <v>8</v>
      </c>
      <c r="N290" t="s">
        <v>88</v>
      </c>
      <c r="O290" t="s">
        <v>83</v>
      </c>
      <c r="P290">
        <v>2051</v>
      </c>
      <c r="Q290">
        <v>2051</v>
      </c>
      <c r="R290" t="str">
        <f>IF(OR(P290&lt;Outliers!$B$5, P290&gt;Outliers!$B$6), "outliers", "")</f>
        <v/>
      </c>
    </row>
    <row r="291" spans="1:18" x14ac:dyDescent="0.25">
      <c r="A291" t="s">
        <v>1160</v>
      </c>
      <c r="B291" s="1">
        <v>45133</v>
      </c>
      <c r="C291">
        <v>2023</v>
      </c>
      <c r="D291" t="s">
        <v>28</v>
      </c>
      <c r="E291" t="s">
        <v>1161</v>
      </c>
      <c r="F291" t="s">
        <v>47</v>
      </c>
      <c r="G291">
        <v>4</v>
      </c>
      <c r="H291">
        <v>160.49</v>
      </c>
      <c r="I291" t="s">
        <v>86</v>
      </c>
      <c r="J291" t="s">
        <v>39</v>
      </c>
      <c r="K291" t="s">
        <v>23</v>
      </c>
      <c r="L291" t="s">
        <v>1162</v>
      </c>
      <c r="M291">
        <v>8</v>
      </c>
      <c r="N291" t="s">
        <v>88</v>
      </c>
      <c r="O291" t="s">
        <v>34</v>
      </c>
      <c r="P291">
        <v>641.96</v>
      </c>
      <c r="Q291">
        <v>641.96</v>
      </c>
      <c r="R291" t="str">
        <f>IF(OR(P291&lt;Outliers!$B$5, P291&gt;Outliers!$B$6), "outliers", "")</f>
        <v/>
      </c>
    </row>
    <row r="292" spans="1:18" x14ac:dyDescent="0.25">
      <c r="A292" t="s">
        <v>1163</v>
      </c>
      <c r="B292" s="1">
        <v>45051</v>
      </c>
      <c r="C292">
        <v>2023</v>
      </c>
      <c r="D292" t="s">
        <v>53</v>
      </c>
      <c r="E292" t="s">
        <v>1164</v>
      </c>
      <c r="F292" t="s">
        <v>47</v>
      </c>
      <c r="G292">
        <v>3</v>
      </c>
      <c r="H292">
        <v>99.9</v>
      </c>
      <c r="I292" t="s">
        <v>762</v>
      </c>
      <c r="J292" t="s">
        <v>72</v>
      </c>
      <c r="K292" t="s">
        <v>57</v>
      </c>
      <c r="L292" t="s">
        <v>1165</v>
      </c>
      <c r="M292">
        <v>8</v>
      </c>
      <c r="N292" t="s">
        <v>42</v>
      </c>
      <c r="O292" t="s">
        <v>51</v>
      </c>
      <c r="P292">
        <v>299.7</v>
      </c>
      <c r="Q292">
        <v>299.7</v>
      </c>
      <c r="R292" t="str">
        <f>IF(OR(P292&lt;Outliers!$B$5, P292&gt;Outliers!$B$6), "outliers", "")</f>
        <v/>
      </c>
    </row>
    <row r="293" spans="1:18" x14ac:dyDescent="0.25">
      <c r="A293" t="s">
        <v>1166</v>
      </c>
      <c r="B293" s="1">
        <v>45424</v>
      </c>
      <c r="C293">
        <v>2024</v>
      </c>
      <c r="D293" t="s">
        <v>53</v>
      </c>
      <c r="E293" t="s">
        <v>1167</v>
      </c>
      <c r="F293" t="s">
        <v>30</v>
      </c>
      <c r="G293">
        <v>2</v>
      </c>
      <c r="H293">
        <v>345.01</v>
      </c>
      <c r="I293" t="s">
        <v>1168</v>
      </c>
      <c r="J293" t="s">
        <v>39</v>
      </c>
      <c r="K293" t="s">
        <v>57</v>
      </c>
      <c r="L293" t="s">
        <v>1169</v>
      </c>
      <c r="M293">
        <v>6</v>
      </c>
      <c r="N293" t="s">
        <v>42</v>
      </c>
      <c r="O293" t="s">
        <v>83</v>
      </c>
      <c r="P293">
        <v>690.02</v>
      </c>
      <c r="Q293">
        <v>690.02</v>
      </c>
      <c r="R293" t="str">
        <f>IF(OR(P293&lt;Outliers!$B$5, P293&gt;Outliers!$B$6), "outliers", "")</f>
        <v/>
      </c>
    </row>
    <row r="294" spans="1:18" x14ac:dyDescent="0.25">
      <c r="A294" t="s">
        <v>1170</v>
      </c>
      <c r="B294" s="1">
        <v>45672</v>
      </c>
      <c r="C294">
        <v>2025</v>
      </c>
      <c r="D294" t="s">
        <v>18</v>
      </c>
      <c r="E294" t="s">
        <v>1171</v>
      </c>
      <c r="F294" t="s">
        <v>20</v>
      </c>
      <c r="G294">
        <v>1</v>
      </c>
      <c r="H294">
        <v>65.95</v>
      </c>
      <c r="I294" t="s">
        <v>865</v>
      </c>
      <c r="J294" t="s">
        <v>39</v>
      </c>
      <c r="K294" t="s">
        <v>57</v>
      </c>
      <c r="L294" t="s">
        <v>1172</v>
      </c>
      <c r="M294">
        <v>5</v>
      </c>
      <c r="O294" t="s">
        <v>51</v>
      </c>
      <c r="P294">
        <v>65.95</v>
      </c>
      <c r="Q294">
        <v>65.95</v>
      </c>
      <c r="R294" t="str">
        <f>IF(OR(P294&lt;Outliers!$B$5, P294&gt;Outliers!$B$6), "outliers", "")</f>
        <v/>
      </c>
    </row>
    <row r="295" spans="1:18" x14ac:dyDescent="0.25">
      <c r="A295" t="s">
        <v>1173</v>
      </c>
      <c r="B295" s="1">
        <v>44973</v>
      </c>
      <c r="C295">
        <v>2023</v>
      </c>
      <c r="D295" t="s">
        <v>18</v>
      </c>
      <c r="E295" t="s">
        <v>1174</v>
      </c>
      <c r="F295" t="s">
        <v>37</v>
      </c>
      <c r="G295">
        <v>4</v>
      </c>
      <c r="H295">
        <v>463.04</v>
      </c>
      <c r="I295" t="s">
        <v>1175</v>
      </c>
      <c r="J295" t="s">
        <v>67</v>
      </c>
      <c r="K295" t="s">
        <v>49</v>
      </c>
      <c r="L295" t="s">
        <v>1176</v>
      </c>
      <c r="M295">
        <v>9</v>
      </c>
      <c r="O295" t="s">
        <v>26</v>
      </c>
      <c r="P295">
        <v>1852.16</v>
      </c>
      <c r="Q295">
        <v>1852.16</v>
      </c>
      <c r="R295" t="str">
        <f>IF(OR(P295&lt;Outliers!$B$5, P295&gt;Outliers!$B$6), "outliers", "")</f>
        <v/>
      </c>
    </row>
    <row r="296" spans="1:18" x14ac:dyDescent="0.25">
      <c r="A296" t="s">
        <v>1177</v>
      </c>
      <c r="B296" s="1">
        <v>45748</v>
      </c>
      <c r="C296">
        <v>2025</v>
      </c>
      <c r="D296" t="s">
        <v>53</v>
      </c>
      <c r="E296" t="s">
        <v>1178</v>
      </c>
      <c r="F296" t="s">
        <v>30</v>
      </c>
      <c r="G296">
        <v>2</v>
      </c>
      <c r="H296">
        <v>297.70999999999998</v>
      </c>
      <c r="I296" t="s">
        <v>1179</v>
      </c>
      <c r="J296" t="s">
        <v>32</v>
      </c>
      <c r="K296" t="s">
        <v>23</v>
      </c>
      <c r="L296" t="s">
        <v>1180</v>
      </c>
      <c r="M296">
        <v>7</v>
      </c>
      <c r="N296" t="s">
        <v>25</v>
      </c>
      <c r="O296" t="s">
        <v>34</v>
      </c>
      <c r="P296">
        <v>595.41999999999996</v>
      </c>
      <c r="Q296">
        <v>595.41999999999996</v>
      </c>
      <c r="R296" t="str">
        <f>IF(OR(P296&lt;Outliers!$B$5, P296&gt;Outliers!$B$6), "outliers", "")</f>
        <v/>
      </c>
    </row>
    <row r="297" spans="1:18" x14ac:dyDescent="0.25">
      <c r="A297" t="s">
        <v>1181</v>
      </c>
      <c r="B297" s="1">
        <v>44951</v>
      </c>
      <c r="C297">
        <v>2023</v>
      </c>
      <c r="D297" t="s">
        <v>18</v>
      </c>
      <c r="E297" t="s">
        <v>1182</v>
      </c>
      <c r="F297" t="s">
        <v>55</v>
      </c>
      <c r="G297">
        <v>5</v>
      </c>
      <c r="H297">
        <v>107.48</v>
      </c>
      <c r="I297" t="s">
        <v>1183</v>
      </c>
      <c r="J297" t="s">
        <v>22</v>
      </c>
      <c r="K297" t="s">
        <v>40</v>
      </c>
      <c r="L297" t="s">
        <v>1184</v>
      </c>
      <c r="M297">
        <v>9</v>
      </c>
      <c r="N297" t="s">
        <v>42</v>
      </c>
      <c r="O297" t="s">
        <v>43</v>
      </c>
      <c r="P297">
        <v>537.4</v>
      </c>
      <c r="Q297">
        <v>537.4</v>
      </c>
      <c r="R297" t="str">
        <f>IF(OR(P297&lt;Outliers!$B$5, P297&gt;Outliers!$B$6), "outliers", "")</f>
        <v/>
      </c>
    </row>
    <row r="298" spans="1:18" x14ac:dyDescent="0.25">
      <c r="A298" t="s">
        <v>1185</v>
      </c>
      <c r="B298" s="1">
        <v>45462</v>
      </c>
      <c r="C298">
        <v>2024</v>
      </c>
      <c r="D298" t="s">
        <v>53</v>
      </c>
      <c r="E298" t="s">
        <v>1186</v>
      </c>
      <c r="F298" t="s">
        <v>80</v>
      </c>
      <c r="G298">
        <v>5</v>
      </c>
      <c r="H298">
        <v>638.79999999999995</v>
      </c>
      <c r="I298" t="s">
        <v>249</v>
      </c>
      <c r="J298" t="s">
        <v>22</v>
      </c>
      <c r="K298" t="s">
        <v>40</v>
      </c>
      <c r="L298" t="s">
        <v>1187</v>
      </c>
      <c r="M298">
        <v>10</v>
      </c>
      <c r="N298" t="s">
        <v>88</v>
      </c>
      <c r="O298" t="s">
        <v>34</v>
      </c>
      <c r="P298">
        <v>3194</v>
      </c>
      <c r="Q298">
        <v>3194</v>
      </c>
      <c r="R298" t="str">
        <f>IF(OR(P298&lt;Outliers!$B$5, P298&gt;Outliers!$B$6), "outliers", "")</f>
        <v/>
      </c>
    </row>
    <row r="299" spans="1:18" x14ac:dyDescent="0.25">
      <c r="A299" t="s">
        <v>1188</v>
      </c>
      <c r="B299" s="1">
        <v>44979</v>
      </c>
      <c r="C299">
        <v>2023</v>
      </c>
      <c r="D299" t="s">
        <v>18</v>
      </c>
      <c r="E299" t="s">
        <v>1189</v>
      </c>
      <c r="F299" t="s">
        <v>80</v>
      </c>
      <c r="G299">
        <v>2</v>
      </c>
      <c r="H299">
        <v>493.88</v>
      </c>
      <c r="I299" t="s">
        <v>1190</v>
      </c>
      <c r="J299" t="s">
        <v>39</v>
      </c>
      <c r="K299" t="s">
        <v>49</v>
      </c>
      <c r="L299" t="s">
        <v>1191</v>
      </c>
      <c r="M299">
        <v>7</v>
      </c>
      <c r="N299" t="s">
        <v>25</v>
      </c>
      <c r="O299" t="s">
        <v>26</v>
      </c>
      <c r="P299">
        <v>987.76</v>
      </c>
      <c r="Q299">
        <v>987.76</v>
      </c>
      <c r="R299" t="str">
        <f>IF(OR(P299&lt;Outliers!$B$5, P299&gt;Outliers!$B$6), "outliers", "")</f>
        <v/>
      </c>
    </row>
    <row r="300" spans="1:18" x14ac:dyDescent="0.25">
      <c r="A300" t="s">
        <v>1192</v>
      </c>
      <c r="B300" s="1">
        <v>45279</v>
      </c>
      <c r="C300">
        <v>2023</v>
      </c>
      <c r="D300" t="s">
        <v>45</v>
      </c>
      <c r="E300" t="s">
        <v>1193</v>
      </c>
      <c r="F300" t="s">
        <v>55</v>
      </c>
      <c r="G300">
        <v>4</v>
      </c>
      <c r="H300">
        <v>301.17</v>
      </c>
      <c r="I300" t="s">
        <v>208</v>
      </c>
      <c r="J300" t="s">
        <v>32</v>
      </c>
      <c r="K300" t="s">
        <v>40</v>
      </c>
      <c r="L300" t="s">
        <v>1194</v>
      </c>
      <c r="M300">
        <v>6</v>
      </c>
      <c r="O300" t="s">
        <v>43</v>
      </c>
      <c r="P300">
        <v>1204.68</v>
      </c>
      <c r="Q300">
        <v>1204.68</v>
      </c>
      <c r="R300" t="str">
        <f>IF(OR(P300&lt;Outliers!$B$5, P300&gt;Outliers!$B$6), "outliers", "")</f>
        <v/>
      </c>
    </row>
    <row r="301" spans="1:18" x14ac:dyDescent="0.25">
      <c r="A301" t="s">
        <v>1195</v>
      </c>
      <c r="B301" s="1">
        <v>45311</v>
      </c>
      <c r="C301">
        <v>2024</v>
      </c>
      <c r="D301" t="s">
        <v>18</v>
      </c>
      <c r="E301" t="s">
        <v>1196</v>
      </c>
      <c r="F301" t="s">
        <v>20</v>
      </c>
      <c r="G301">
        <v>1</v>
      </c>
      <c r="H301">
        <v>278.66000000000003</v>
      </c>
      <c r="I301" t="s">
        <v>1197</v>
      </c>
      <c r="J301" t="s">
        <v>67</v>
      </c>
      <c r="K301" t="s">
        <v>40</v>
      </c>
      <c r="L301" t="s">
        <v>1198</v>
      </c>
      <c r="M301">
        <v>2</v>
      </c>
      <c r="N301" t="s">
        <v>42</v>
      </c>
      <c r="O301" t="s">
        <v>26</v>
      </c>
      <c r="P301">
        <v>278.66000000000003</v>
      </c>
      <c r="Q301">
        <v>278.66000000000003</v>
      </c>
      <c r="R301" t="str">
        <f>IF(OR(P301&lt;Outliers!$B$5, P301&gt;Outliers!$B$6), "outliers", "")</f>
        <v/>
      </c>
    </row>
    <row r="302" spans="1:18" x14ac:dyDescent="0.25">
      <c r="A302" t="s">
        <v>1199</v>
      </c>
      <c r="B302" s="1">
        <v>45537</v>
      </c>
      <c r="C302">
        <v>2024</v>
      </c>
      <c r="D302" t="s">
        <v>28</v>
      </c>
      <c r="E302" t="s">
        <v>1200</v>
      </c>
      <c r="F302" t="s">
        <v>30</v>
      </c>
      <c r="G302">
        <v>1</v>
      </c>
      <c r="H302">
        <v>287.45999999999998</v>
      </c>
      <c r="I302" t="s">
        <v>1201</v>
      </c>
      <c r="J302" t="s">
        <v>22</v>
      </c>
      <c r="K302" t="s">
        <v>49</v>
      </c>
      <c r="L302" t="s">
        <v>1202</v>
      </c>
      <c r="M302">
        <v>3</v>
      </c>
      <c r="N302" t="s">
        <v>42</v>
      </c>
      <c r="O302" t="s">
        <v>51</v>
      </c>
      <c r="P302">
        <v>287.45999999999998</v>
      </c>
      <c r="Q302">
        <v>287.45999999999998</v>
      </c>
      <c r="R302" t="str">
        <f>IF(OR(P302&lt;Outliers!$B$5, P302&gt;Outliers!$B$6), "outliers", "")</f>
        <v/>
      </c>
    </row>
    <row r="303" spans="1:18" x14ac:dyDescent="0.25">
      <c r="A303" t="s">
        <v>1203</v>
      </c>
      <c r="B303" s="1">
        <v>45057</v>
      </c>
      <c r="C303">
        <v>2023</v>
      </c>
      <c r="D303" t="s">
        <v>53</v>
      </c>
      <c r="E303" t="s">
        <v>1204</v>
      </c>
      <c r="F303" t="s">
        <v>47</v>
      </c>
      <c r="G303">
        <v>1</v>
      </c>
      <c r="H303">
        <v>583.99</v>
      </c>
      <c r="I303" t="s">
        <v>1205</v>
      </c>
      <c r="J303" t="s">
        <v>72</v>
      </c>
      <c r="K303" t="s">
        <v>40</v>
      </c>
      <c r="L303" t="s">
        <v>1206</v>
      </c>
      <c r="M303">
        <v>2</v>
      </c>
      <c r="N303" t="s">
        <v>25</v>
      </c>
      <c r="O303" t="s">
        <v>43</v>
      </c>
      <c r="P303">
        <v>583.99</v>
      </c>
      <c r="Q303">
        <v>583.99</v>
      </c>
      <c r="R303" t="str">
        <f>IF(OR(P303&lt;Outliers!$B$5, P303&gt;Outliers!$B$6), "outliers", "")</f>
        <v/>
      </c>
    </row>
    <row r="304" spans="1:18" x14ac:dyDescent="0.25">
      <c r="A304" t="s">
        <v>1207</v>
      </c>
      <c r="B304" s="1">
        <v>45062</v>
      </c>
      <c r="C304">
        <v>2023</v>
      </c>
      <c r="D304" t="s">
        <v>53</v>
      </c>
      <c r="E304" t="s">
        <v>1208</v>
      </c>
      <c r="F304" t="s">
        <v>47</v>
      </c>
      <c r="G304">
        <v>3</v>
      </c>
      <c r="H304">
        <v>468.74</v>
      </c>
      <c r="I304" t="s">
        <v>1209</v>
      </c>
      <c r="J304" t="s">
        <v>72</v>
      </c>
      <c r="K304" t="s">
        <v>96</v>
      </c>
      <c r="L304" t="s">
        <v>1210</v>
      </c>
      <c r="M304">
        <v>4</v>
      </c>
      <c r="N304" t="s">
        <v>42</v>
      </c>
      <c r="O304" t="s">
        <v>26</v>
      </c>
      <c r="P304">
        <v>1406.22</v>
      </c>
      <c r="Q304">
        <v>1406.22</v>
      </c>
      <c r="R304" t="str">
        <f>IF(OR(P304&lt;Outliers!$B$5, P304&gt;Outliers!$B$6), "outliers", "")</f>
        <v/>
      </c>
    </row>
    <row r="305" spans="1:18" x14ac:dyDescent="0.25">
      <c r="A305" t="s">
        <v>1211</v>
      </c>
      <c r="B305" s="1">
        <v>45633</v>
      </c>
      <c r="C305">
        <v>2024</v>
      </c>
      <c r="D305" t="s">
        <v>45</v>
      </c>
      <c r="E305" t="s">
        <v>1212</v>
      </c>
      <c r="F305" t="s">
        <v>37</v>
      </c>
      <c r="G305">
        <v>1</v>
      </c>
      <c r="H305">
        <v>30.54</v>
      </c>
      <c r="I305" t="s">
        <v>1213</v>
      </c>
      <c r="J305" t="s">
        <v>22</v>
      </c>
      <c r="K305" t="s">
        <v>49</v>
      </c>
      <c r="L305" t="s">
        <v>1214</v>
      </c>
      <c r="M305">
        <v>1</v>
      </c>
      <c r="O305" t="s">
        <v>83</v>
      </c>
      <c r="P305">
        <v>30.54</v>
      </c>
      <c r="Q305">
        <v>30.54</v>
      </c>
      <c r="R305" t="str">
        <f>IF(OR(P305&lt;Outliers!$B$5, P305&gt;Outliers!$B$6), "outliers", "")</f>
        <v/>
      </c>
    </row>
    <row r="306" spans="1:18" x14ac:dyDescent="0.25">
      <c r="A306" t="s">
        <v>1215</v>
      </c>
      <c r="B306" s="1">
        <v>45583</v>
      </c>
      <c r="C306">
        <v>2024</v>
      </c>
      <c r="D306" t="s">
        <v>45</v>
      </c>
      <c r="E306" t="s">
        <v>1216</v>
      </c>
      <c r="F306" t="s">
        <v>20</v>
      </c>
      <c r="G306">
        <v>5</v>
      </c>
      <c r="H306">
        <v>408.73</v>
      </c>
      <c r="I306" t="s">
        <v>1217</v>
      </c>
      <c r="J306" t="s">
        <v>67</v>
      </c>
      <c r="K306" t="s">
        <v>57</v>
      </c>
      <c r="L306" t="s">
        <v>1218</v>
      </c>
      <c r="M306">
        <v>10</v>
      </c>
      <c r="N306" t="s">
        <v>42</v>
      </c>
      <c r="O306" t="s">
        <v>26</v>
      </c>
      <c r="P306">
        <v>2043.65</v>
      </c>
      <c r="Q306">
        <v>2043.65</v>
      </c>
      <c r="R306" t="str">
        <f>IF(OR(P306&lt;Outliers!$B$5, P306&gt;Outliers!$B$6), "outliers", "")</f>
        <v/>
      </c>
    </row>
    <row r="307" spans="1:18" x14ac:dyDescent="0.25">
      <c r="A307" t="s">
        <v>1219</v>
      </c>
      <c r="B307" s="1">
        <v>45255</v>
      </c>
      <c r="C307">
        <v>2023</v>
      </c>
      <c r="D307" t="s">
        <v>45</v>
      </c>
      <c r="E307" t="s">
        <v>1220</v>
      </c>
      <c r="F307" t="s">
        <v>65</v>
      </c>
      <c r="G307">
        <v>4</v>
      </c>
      <c r="H307">
        <v>126.89</v>
      </c>
      <c r="I307" t="s">
        <v>1221</v>
      </c>
      <c r="J307" t="s">
        <v>72</v>
      </c>
      <c r="K307" t="s">
        <v>96</v>
      </c>
      <c r="L307" t="s">
        <v>1222</v>
      </c>
      <c r="M307">
        <v>9</v>
      </c>
      <c r="N307" t="s">
        <v>42</v>
      </c>
      <c r="O307" t="s">
        <v>26</v>
      </c>
      <c r="P307">
        <v>507.56</v>
      </c>
      <c r="Q307">
        <v>507.56</v>
      </c>
      <c r="R307" t="str">
        <f>IF(OR(P307&lt;Outliers!$B$5, P307&gt;Outliers!$B$6), "outliers", "")</f>
        <v/>
      </c>
    </row>
    <row r="308" spans="1:18" x14ac:dyDescent="0.25">
      <c r="A308" t="s">
        <v>1223</v>
      </c>
      <c r="B308" s="1">
        <v>45450</v>
      </c>
      <c r="C308">
        <v>2024</v>
      </c>
      <c r="D308" t="s">
        <v>53</v>
      </c>
      <c r="E308" t="s">
        <v>1224</v>
      </c>
      <c r="F308" t="s">
        <v>55</v>
      </c>
      <c r="G308">
        <v>2</v>
      </c>
      <c r="H308">
        <v>57.07</v>
      </c>
      <c r="I308" t="s">
        <v>1225</v>
      </c>
      <c r="J308" t="s">
        <v>22</v>
      </c>
      <c r="K308" t="s">
        <v>49</v>
      </c>
      <c r="L308" t="s">
        <v>1226</v>
      </c>
      <c r="M308">
        <v>3</v>
      </c>
      <c r="N308" t="s">
        <v>25</v>
      </c>
      <c r="O308" t="s">
        <v>26</v>
      </c>
      <c r="P308">
        <v>114.14</v>
      </c>
      <c r="Q308">
        <v>114.14</v>
      </c>
      <c r="R308" t="str">
        <f>IF(OR(P308&lt;Outliers!$B$5, P308&gt;Outliers!$B$6), "outliers", "")</f>
        <v/>
      </c>
    </row>
    <row r="309" spans="1:18" x14ac:dyDescent="0.25">
      <c r="A309" t="s">
        <v>1227</v>
      </c>
      <c r="B309" s="1">
        <v>45108</v>
      </c>
      <c r="C309">
        <v>2023</v>
      </c>
      <c r="D309" t="s">
        <v>28</v>
      </c>
      <c r="E309" t="s">
        <v>1228</v>
      </c>
      <c r="F309" t="s">
        <v>65</v>
      </c>
      <c r="G309">
        <v>3</v>
      </c>
      <c r="H309">
        <v>557.41</v>
      </c>
      <c r="I309" t="s">
        <v>1229</v>
      </c>
      <c r="J309" t="s">
        <v>32</v>
      </c>
      <c r="K309" t="s">
        <v>57</v>
      </c>
      <c r="L309" t="s">
        <v>1230</v>
      </c>
      <c r="M309">
        <v>4</v>
      </c>
      <c r="O309" t="s">
        <v>43</v>
      </c>
      <c r="P309">
        <v>1672.23</v>
      </c>
      <c r="Q309">
        <v>1672.23</v>
      </c>
      <c r="R309" t="str">
        <f>IF(OR(P309&lt;Outliers!$B$5, P309&gt;Outliers!$B$6), "outliers", "")</f>
        <v/>
      </c>
    </row>
    <row r="310" spans="1:18" x14ac:dyDescent="0.25">
      <c r="A310" t="s">
        <v>1231</v>
      </c>
      <c r="B310" s="1">
        <v>45271</v>
      </c>
      <c r="C310">
        <v>2023</v>
      </c>
      <c r="D310" t="s">
        <v>45</v>
      </c>
      <c r="E310" t="s">
        <v>1232</v>
      </c>
      <c r="F310" t="s">
        <v>55</v>
      </c>
      <c r="G310">
        <v>3</v>
      </c>
      <c r="H310">
        <v>448.9</v>
      </c>
      <c r="I310" t="s">
        <v>726</v>
      </c>
      <c r="J310" t="s">
        <v>22</v>
      </c>
      <c r="K310" t="s">
        <v>49</v>
      </c>
      <c r="L310" t="s">
        <v>1233</v>
      </c>
      <c r="M310">
        <v>7</v>
      </c>
      <c r="N310" t="s">
        <v>25</v>
      </c>
      <c r="O310" t="s">
        <v>26</v>
      </c>
      <c r="P310">
        <v>1346.7</v>
      </c>
      <c r="Q310">
        <v>1346.7</v>
      </c>
      <c r="R310" t="str">
        <f>IF(OR(P310&lt;Outliers!$B$5, P310&gt;Outliers!$B$6), "outliers", "")</f>
        <v/>
      </c>
    </row>
    <row r="311" spans="1:18" x14ac:dyDescent="0.25">
      <c r="A311" t="s">
        <v>1234</v>
      </c>
      <c r="B311" s="1">
        <v>45202</v>
      </c>
      <c r="C311">
        <v>2023</v>
      </c>
      <c r="D311" t="s">
        <v>45</v>
      </c>
      <c r="E311" t="s">
        <v>1235</v>
      </c>
      <c r="F311" t="s">
        <v>47</v>
      </c>
      <c r="G311">
        <v>4</v>
      </c>
      <c r="H311">
        <v>549.76</v>
      </c>
      <c r="I311" t="s">
        <v>1236</v>
      </c>
      <c r="J311" t="s">
        <v>22</v>
      </c>
      <c r="K311" t="s">
        <v>57</v>
      </c>
      <c r="L311" t="s">
        <v>1237</v>
      </c>
      <c r="M311">
        <v>4</v>
      </c>
      <c r="N311" t="s">
        <v>42</v>
      </c>
      <c r="O311" t="s">
        <v>51</v>
      </c>
      <c r="P311">
        <v>2199.04</v>
      </c>
      <c r="Q311">
        <v>2199.04</v>
      </c>
      <c r="R311" t="str">
        <f>IF(OR(P311&lt;Outliers!$B$5, P311&gt;Outliers!$B$6), "outliers", "")</f>
        <v/>
      </c>
    </row>
    <row r="312" spans="1:18" x14ac:dyDescent="0.25">
      <c r="A312" t="s">
        <v>1238</v>
      </c>
      <c r="B312" s="1">
        <v>45346</v>
      </c>
      <c r="C312">
        <v>2024</v>
      </c>
      <c r="D312" t="s">
        <v>18</v>
      </c>
      <c r="E312" t="s">
        <v>1239</v>
      </c>
      <c r="F312" t="s">
        <v>55</v>
      </c>
      <c r="G312">
        <v>3</v>
      </c>
      <c r="H312">
        <v>132.47999999999999</v>
      </c>
      <c r="I312" t="s">
        <v>1240</v>
      </c>
      <c r="J312" t="s">
        <v>32</v>
      </c>
      <c r="K312" t="s">
        <v>23</v>
      </c>
      <c r="L312" t="s">
        <v>1241</v>
      </c>
      <c r="M312">
        <v>4</v>
      </c>
      <c r="O312" t="s">
        <v>34</v>
      </c>
      <c r="P312">
        <v>397.44</v>
      </c>
      <c r="Q312">
        <v>397.44</v>
      </c>
      <c r="R312" t="str">
        <f>IF(OR(P312&lt;Outliers!$B$5, P312&gt;Outliers!$B$6), "outliers", "")</f>
        <v/>
      </c>
    </row>
    <row r="313" spans="1:18" x14ac:dyDescent="0.25">
      <c r="A313" t="s">
        <v>1242</v>
      </c>
      <c r="B313" s="1">
        <v>45794</v>
      </c>
      <c r="C313">
        <v>2025</v>
      </c>
      <c r="D313" t="s">
        <v>53</v>
      </c>
      <c r="E313" t="s">
        <v>1243</v>
      </c>
      <c r="F313" t="s">
        <v>80</v>
      </c>
      <c r="G313">
        <v>5</v>
      </c>
      <c r="H313">
        <v>489.37</v>
      </c>
      <c r="I313" t="s">
        <v>1244</v>
      </c>
      <c r="J313" t="s">
        <v>32</v>
      </c>
      <c r="K313" t="s">
        <v>49</v>
      </c>
      <c r="L313" t="s">
        <v>1245</v>
      </c>
      <c r="M313">
        <v>8</v>
      </c>
      <c r="O313" t="s">
        <v>26</v>
      </c>
      <c r="P313">
        <v>2446.85</v>
      </c>
      <c r="Q313">
        <v>2446.85</v>
      </c>
      <c r="R313" t="str">
        <f>IF(OR(P313&lt;Outliers!$B$5, P313&gt;Outliers!$B$6), "outliers", "")</f>
        <v/>
      </c>
    </row>
    <row r="314" spans="1:18" x14ac:dyDescent="0.25">
      <c r="A314" t="s">
        <v>1246</v>
      </c>
      <c r="B314" s="1">
        <v>45801</v>
      </c>
      <c r="C314">
        <v>2025</v>
      </c>
      <c r="D314" t="s">
        <v>53</v>
      </c>
      <c r="E314" t="s">
        <v>1247</v>
      </c>
      <c r="F314" t="s">
        <v>55</v>
      </c>
      <c r="G314">
        <v>5</v>
      </c>
      <c r="H314">
        <v>66.31</v>
      </c>
      <c r="I314" t="s">
        <v>928</v>
      </c>
      <c r="J314" t="s">
        <v>67</v>
      </c>
      <c r="K314" t="s">
        <v>96</v>
      </c>
      <c r="L314" t="s">
        <v>1248</v>
      </c>
      <c r="M314">
        <v>7</v>
      </c>
      <c r="N314" t="s">
        <v>42</v>
      </c>
      <c r="O314" t="s">
        <v>34</v>
      </c>
      <c r="P314">
        <v>331.55</v>
      </c>
      <c r="Q314">
        <v>331.55</v>
      </c>
      <c r="R314" t="str">
        <f>IF(OR(P314&lt;Outliers!$B$5, P314&gt;Outliers!$B$6), "outliers", "")</f>
        <v/>
      </c>
    </row>
    <row r="315" spans="1:18" x14ac:dyDescent="0.25">
      <c r="A315" t="s">
        <v>1249</v>
      </c>
      <c r="B315" s="1">
        <v>45116</v>
      </c>
      <c r="C315">
        <v>2023</v>
      </c>
      <c r="D315" t="s">
        <v>28</v>
      </c>
      <c r="E315" t="s">
        <v>1250</v>
      </c>
      <c r="F315" t="s">
        <v>47</v>
      </c>
      <c r="G315">
        <v>2</v>
      </c>
      <c r="H315">
        <v>434.3</v>
      </c>
      <c r="I315" t="s">
        <v>1251</v>
      </c>
      <c r="J315" t="s">
        <v>72</v>
      </c>
      <c r="K315" t="s">
        <v>57</v>
      </c>
      <c r="L315" t="s">
        <v>1252</v>
      </c>
      <c r="M315">
        <v>7</v>
      </c>
      <c r="N315" t="s">
        <v>25</v>
      </c>
      <c r="O315" t="s">
        <v>26</v>
      </c>
      <c r="P315">
        <v>868.6</v>
      </c>
      <c r="Q315">
        <v>868.6</v>
      </c>
      <c r="R315" t="str">
        <f>IF(OR(P315&lt;Outliers!$B$5, P315&gt;Outliers!$B$6), "outliers", "")</f>
        <v/>
      </c>
    </row>
    <row r="316" spans="1:18" x14ac:dyDescent="0.25">
      <c r="A316" t="s">
        <v>1253</v>
      </c>
      <c r="B316" s="1">
        <v>45203</v>
      </c>
      <c r="C316">
        <v>2023</v>
      </c>
      <c r="D316" t="s">
        <v>45</v>
      </c>
      <c r="E316" t="s">
        <v>1254</v>
      </c>
      <c r="F316" t="s">
        <v>80</v>
      </c>
      <c r="G316">
        <v>4</v>
      </c>
      <c r="H316">
        <v>153.09</v>
      </c>
      <c r="I316" t="s">
        <v>1255</v>
      </c>
      <c r="J316" t="s">
        <v>32</v>
      </c>
      <c r="K316" t="s">
        <v>57</v>
      </c>
      <c r="L316" t="s">
        <v>1256</v>
      </c>
      <c r="M316">
        <v>4</v>
      </c>
      <c r="N316" t="s">
        <v>42</v>
      </c>
      <c r="O316" t="s">
        <v>34</v>
      </c>
      <c r="P316">
        <v>612.36</v>
      </c>
      <c r="Q316">
        <v>612.36</v>
      </c>
      <c r="R316" t="str">
        <f>IF(OR(P316&lt;Outliers!$B$5, P316&gt;Outliers!$B$6), "outliers", "")</f>
        <v/>
      </c>
    </row>
    <row r="317" spans="1:18" x14ac:dyDescent="0.25">
      <c r="A317" t="s">
        <v>1257</v>
      </c>
      <c r="B317" s="1">
        <v>45789</v>
      </c>
      <c r="C317">
        <v>2025</v>
      </c>
      <c r="D317" t="s">
        <v>53</v>
      </c>
      <c r="E317" t="s">
        <v>1258</v>
      </c>
      <c r="F317" t="s">
        <v>37</v>
      </c>
      <c r="G317">
        <v>5</v>
      </c>
      <c r="H317">
        <v>91.67</v>
      </c>
      <c r="I317" t="s">
        <v>1259</v>
      </c>
      <c r="J317" t="s">
        <v>32</v>
      </c>
      <c r="K317" t="s">
        <v>40</v>
      </c>
      <c r="L317" t="s">
        <v>1260</v>
      </c>
      <c r="M317">
        <v>9</v>
      </c>
      <c r="N317" t="s">
        <v>42</v>
      </c>
      <c r="O317" t="s">
        <v>43</v>
      </c>
      <c r="P317">
        <v>458.35</v>
      </c>
      <c r="Q317">
        <v>458.35</v>
      </c>
      <c r="R317" t="str">
        <f>IF(OR(P317&lt;Outliers!$B$5, P317&gt;Outliers!$B$6), "outliers", "")</f>
        <v/>
      </c>
    </row>
    <row r="318" spans="1:18" x14ac:dyDescent="0.25">
      <c r="A318" t="s">
        <v>1261</v>
      </c>
      <c r="B318" s="1">
        <v>45201</v>
      </c>
      <c r="C318">
        <v>2023</v>
      </c>
      <c r="D318" t="s">
        <v>45</v>
      </c>
      <c r="E318" t="s">
        <v>1262</v>
      </c>
      <c r="F318" t="s">
        <v>80</v>
      </c>
      <c r="G318">
        <v>4</v>
      </c>
      <c r="H318">
        <v>275.27999999999997</v>
      </c>
      <c r="I318" t="s">
        <v>1263</v>
      </c>
      <c r="J318" t="s">
        <v>67</v>
      </c>
      <c r="K318" t="s">
        <v>23</v>
      </c>
      <c r="L318" t="s">
        <v>1264</v>
      </c>
      <c r="M318">
        <v>9</v>
      </c>
      <c r="N318" t="s">
        <v>88</v>
      </c>
      <c r="O318" t="s">
        <v>51</v>
      </c>
      <c r="P318">
        <v>1101.1199999999999</v>
      </c>
      <c r="Q318">
        <v>1101.1199999999999</v>
      </c>
      <c r="R318" t="str">
        <f>IF(OR(P318&lt;Outliers!$B$5, P318&gt;Outliers!$B$6), "outliers", "")</f>
        <v/>
      </c>
    </row>
    <row r="319" spans="1:18" x14ac:dyDescent="0.25">
      <c r="A319" t="s">
        <v>1265</v>
      </c>
      <c r="B319" s="1">
        <v>45026</v>
      </c>
      <c r="C319">
        <v>2023</v>
      </c>
      <c r="D319" t="s">
        <v>53</v>
      </c>
      <c r="E319" t="s">
        <v>1266</v>
      </c>
      <c r="F319" t="s">
        <v>20</v>
      </c>
      <c r="G319">
        <v>2</v>
      </c>
      <c r="H319">
        <v>139.94999999999999</v>
      </c>
      <c r="I319" t="s">
        <v>1267</v>
      </c>
      <c r="J319" t="s">
        <v>32</v>
      </c>
      <c r="K319" t="s">
        <v>49</v>
      </c>
      <c r="L319" t="s">
        <v>1268</v>
      </c>
      <c r="M319">
        <v>5</v>
      </c>
      <c r="O319" t="s">
        <v>26</v>
      </c>
      <c r="P319">
        <v>279.89999999999998</v>
      </c>
      <c r="Q319">
        <v>279.89999999999998</v>
      </c>
      <c r="R319" t="str">
        <f>IF(OR(P319&lt;Outliers!$B$5, P319&gt;Outliers!$B$6), "outliers", "")</f>
        <v/>
      </c>
    </row>
    <row r="320" spans="1:18" x14ac:dyDescent="0.25">
      <c r="A320" t="s">
        <v>1269</v>
      </c>
      <c r="B320" s="1">
        <v>45500</v>
      </c>
      <c r="C320">
        <v>2024</v>
      </c>
      <c r="D320" t="s">
        <v>28</v>
      </c>
      <c r="E320" t="s">
        <v>1270</v>
      </c>
      <c r="F320" t="s">
        <v>47</v>
      </c>
      <c r="G320">
        <v>3</v>
      </c>
      <c r="H320">
        <v>148.72</v>
      </c>
      <c r="I320" t="s">
        <v>873</v>
      </c>
      <c r="J320" t="s">
        <v>22</v>
      </c>
      <c r="K320" t="s">
        <v>40</v>
      </c>
      <c r="L320" t="s">
        <v>1271</v>
      </c>
      <c r="M320">
        <v>7</v>
      </c>
      <c r="N320" t="s">
        <v>25</v>
      </c>
      <c r="O320" t="s">
        <v>83</v>
      </c>
      <c r="P320">
        <v>446.16</v>
      </c>
      <c r="Q320">
        <v>446.16</v>
      </c>
      <c r="R320" t="str">
        <f>IF(OR(P320&lt;Outliers!$B$5, P320&gt;Outliers!$B$6), "outliers", "")</f>
        <v/>
      </c>
    </row>
    <row r="321" spans="1:18" x14ac:dyDescent="0.25">
      <c r="A321" t="s">
        <v>1272</v>
      </c>
      <c r="B321" s="1">
        <v>45262</v>
      </c>
      <c r="C321">
        <v>2023</v>
      </c>
      <c r="D321" t="s">
        <v>45</v>
      </c>
      <c r="E321" t="s">
        <v>1273</v>
      </c>
      <c r="F321" t="s">
        <v>65</v>
      </c>
      <c r="G321">
        <v>2</v>
      </c>
      <c r="H321">
        <v>563.05999999999995</v>
      </c>
      <c r="I321" t="s">
        <v>1274</v>
      </c>
      <c r="J321" t="s">
        <v>72</v>
      </c>
      <c r="K321" t="s">
        <v>49</v>
      </c>
      <c r="L321" t="s">
        <v>1275</v>
      </c>
      <c r="M321">
        <v>6</v>
      </c>
      <c r="O321" t="s">
        <v>26</v>
      </c>
      <c r="P321">
        <v>1126.1199999999999</v>
      </c>
      <c r="Q321">
        <v>1126.1199999999999</v>
      </c>
      <c r="R321" t="str">
        <f>IF(OR(P321&lt;Outliers!$B$5, P321&gt;Outliers!$B$6), "outliers", "")</f>
        <v/>
      </c>
    </row>
    <row r="322" spans="1:18" x14ac:dyDescent="0.25">
      <c r="A322" t="s">
        <v>1276</v>
      </c>
      <c r="B322" s="1">
        <v>45645</v>
      </c>
      <c r="C322">
        <v>2024</v>
      </c>
      <c r="D322" t="s">
        <v>45</v>
      </c>
      <c r="E322" t="s">
        <v>1277</v>
      </c>
      <c r="F322" t="s">
        <v>55</v>
      </c>
      <c r="G322">
        <v>1</v>
      </c>
      <c r="H322">
        <v>625.51</v>
      </c>
      <c r="I322" t="s">
        <v>1278</v>
      </c>
      <c r="J322" t="s">
        <v>39</v>
      </c>
      <c r="K322" t="s">
        <v>23</v>
      </c>
      <c r="L322" t="s">
        <v>1279</v>
      </c>
      <c r="M322">
        <v>1</v>
      </c>
      <c r="N322" t="s">
        <v>42</v>
      </c>
      <c r="O322" t="s">
        <v>51</v>
      </c>
      <c r="P322">
        <v>625.51</v>
      </c>
      <c r="Q322">
        <v>625.51</v>
      </c>
      <c r="R322" t="str">
        <f>IF(OR(P322&lt;Outliers!$B$5, P322&gt;Outliers!$B$6), "outliers", "")</f>
        <v/>
      </c>
    </row>
    <row r="323" spans="1:18" x14ac:dyDescent="0.25">
      <c r="A323" t="s">
        <v>1280</v>
      </c>
      <c r="B323" s="1">
        <v>45147</v>
      </c>
      <c r="C323">
        <v>2023</v>
      </c>
      <c r="D323" t="s">
        <v>28</v>
      </c>
      <c r="E323" t="s">
        <v>1281</v>
      </c>
      <c r="F323" t="s">
        <v>30</v>
      </c>
      <c r="G323">
        <v>4</v>
      </c>
      <c r="H323">
        <v>152.29</v>
      </c>
      <c r="I323" t="s">
        <v>1229</v>
      </c>
      <c r="J323" t="s">
        <v>22</v>
      </c>
      <c r="K323" t="s">
        <v>40</v>
      </c>
      <c r="L323" t="s">
        <v>1282</v>
      </c>
      <c r="M323">
        <v>6</v>
      </c>
      <c r="N323" t="s">
        <v>88</v>
      </c>
      <c r="O323" t="s">
        <v>83</v>
      </c>
      <c r="P323">
        <v>609.16</v>
      </c>
      <c r="Q323">
        <v>609.16</v>
      </c>
      <c r="R323" t="str">
        <f>IF(OR(P323&lt;Outliers!$B$5, P323&gt;Outliers!$B$6), "outliers", "")</f>
        <v/>
      </c>
    </row>
    <row r="324" spans="1:18" x14ac:dyDescent="0.25">
      <c r="A324" t="s">
        <v>1283</v>
      </c>
      <c r="B324" s="1">
        <v>45457</v>
      </c>
      <c r="C324">
        <v>2024</v>
      </c>
      <c r="D324" t="s">
        <v>53</v>
      </c>
      <c r="E324" t="s">
        <v>1284</v>
      </c>
      <c r="F324" t="s">
        <v>30</v>
      </c>
      <c r="G324">
        <v>5</v>
      </c>
      <c r="H324">
        <v>231.82</v>
      </c>
      <c r="I324" t="s">
        <v>1267</v>
      </c>
      <c r="J324" t="s">
        <v>22</v>
      </c>
      <c r="K324" t="s">
        <v>57</v>
      </c>
      <c r="L324" t="s">
        <v>1285</v>
      </c>
      <c r="M324">
        <v>6</v>
      </c>
      <c r="N324" t="s">
        <v>25</v>
      </c>
      <c r="O324" t="s">
        <v>51</v>
      </c>
      <c r="P324">
        <v>1159.0999999999999</v>
      </c>
      <c r="Q324">
        <v>1159.0999999999999</v>
      </c>
      <c r="R324" t="str">
        <f>IF(OR(P324&lt;Outliers!$B$5, P324&gt;Outliers!$B$6), "outliers", "")</f>
        <v/>
      </c>
    </row>
    <row r="325" spans="1:18" x14ac:dyDescent="0.25">
      <c r="A325" t="s">
        <v>1286</v>
      </c>
      <c r="B325" s="1">
        <v>45683</v>
      </c>
      <c r="C325">
        <v>2025</v>
      </c>
      <c r="D325" t="s">
        <v>18</v>
      </c>
      <c r="E325" t="s">
        <v>1287</v>
      </c>
      <c r="F325" t="s">
        <v>65</v>
      </c>
      <c r="G325">
        <v>1</v>
      </c>
      <c r="H325">
        <v>150.16999999999999</v>
      </c>
      <c r="I325" t="s">
        <v>1288</v>
      </c>
      <c r="J325" t="s">
        <v>22</v>
      </c>
      <c r="K325" t="s">
        <v>49</v>
      </c>
      <c r="L325" t="s">
        <v>1289</v>
      </c>
      <c r="M325">
        <v>1</v>
      </c>
      <c r="N325" t="s">
        <v>25</v>
      </c>
      <c r="O325" t="s">
        <v>34</v>
      </c>
      <c r="P325">
        <v>150.16999999999999</v>
      </c>
      <c r="Q325">
        <v>150.16999999999999</v>
      </c>
      <c r="R325" t="str">
        <f>IF(OR(P325&lt;Outliers!$B$5, P325&gt;Outliers!$B$6), "outliers", "")</f>
        <v/>
      </c>
    </row>
    <row r="326" spans="1:18" x14ac:dyDescent="0.25">
      <c r="A326" t="s">
        <v>1290</v>
      </c>
      <c r="B326" s="1">
        <v>45456</v>
      </c>
      <c r="C326">
        <v>2024</v>
      </c>
      <c r="D326" t="s">
        <v>53</v>
      </c>
      <c r="E326" t="s">
        <v>1291</v>
      </c>
      <c r="F326" t="s">
        <v>37</v>
      </c>
      <c r="G326">
        <v>3</v>
      </c>
      <c r="H326">
        <v>70.930000000000007</v>
      </c>
      <c r="I326" t="s">
        <v>1292</v>
      </c>
      <c r="J326" t="s">
        <v>22</v>
      </c>
      <c r="K326" t="s">
        <v>49</v>
      </c>
      <c r="L326" t="s">
        <v>1293</v>
      </c>
      <c r="M326">
        <v>5</v>
      </c>
      <c r="O326" t="s">
        <v>34</v>
      </c>
      <c r="P326">
        <v>212.79</v>
      </c>
      <c r="Q326">
        <v>212.79</v>
      </c>
      <c r="R326" t="str">
        <f>IF(OR(P326&lt;Outliers!$B$5, P326&gt;Outliers!$B$6), "outliers", "")</f>
        <v/>
      </c>
    </row>
    <row r="327" spans="1:18" x14ac:dyDescent="0.25">
      <c r="A327" t="s">
        <v>1294</v>
      </c>
      <c r="B327" s="1">
        <v>45106</v>
      </c>
      <c r="C327">
        <v>2023</v>
      </c>
      <c r="D327" t="s">
        <v>53</v>
      </c>
      <c r="E327" t="s">
        <v>1295</v>
      </c>
      <c r="F327" t="s">
        <v>80</v>
      </c>
      <c r="G327">
        <v>3</v>
      </c>
      <c r="H327">
        <v>361.39</v>
      </c>
      <c r="I327" t="s">
        <v>1296</v>
      </c>
      <c r="J327" t="s">
        <v>39</v>
      </c>
      <c r="K327" t="s">
        <v>23</v>
      </c>
      <c r="L327" t="s">
        <v>1297</v>
      </c>
      <c r="M327">
        <v>8</v>
      </c>
      <c r="O327" t="s">
        <v>34</v>
      </c>
      <c r="P327">
        <v>1084.17</v>
      </c>
      <c r="Q327">
        <v>1084.17</v>
      </c>
      <c r="R327" t="str">
        <f>IF(OR(P327&lt;Outliers!$B$5, P327&gt;Outliers!$B$6), "outliers", "")</f>
        <v/>
      </c>
    </row>
    <row r="328" spans="1:18" x14ac:dyDescent="0.25">
      <c r="A328" t="s">
        <v>1298</v>
      </c>
      <c r="B328" s="1">
        <v>45474</v>
      </c>
      <c r="C328">
        <v>2024</v>
      </c>
      <c r="D328" t="s">
        <v>28</v>
      </c>
      <c r="E328" t="s">
        <v>1299</v>
      </c>
      <c r="F328" t="s">
        <v>65</v>
      </c>
      <c r="G328">
        <v>5</v>
      </c>
      <c r="H328">
        <v>670.48</v>
      </c>
      <c r="I328" t="s">
        <v>124</v>
      </c>
      <c r="J328" t="s">
        <v>67</v>
      </c>
      <c r="K328" t="s">
        <v>49</v>
      </c>
      <c r="L328" t="s">
        <v>1300</v>
      </c>
      <c r="M328">
        <v>5</v>
      </c>
      <c r="N328" t="s">
        <v>25</v>
      </c>
      <c r="O328" t="s">
        <v>51</v>
      </c>
      <c r="P328">
        <v>3352.4</v>
      </c>
      <c r="Q328">
        <v>3352.4</v>
      </c>
      <c r="R328" t="str">
        <f>IF(OR(P328&lt;Outliers!$B$5, P328&gt;Outliers!$B$6), "outliers", "")</f>
        <v>outliers</v>
      </c>
    </row>
    <row r="329" spans="1:18" x14ac:dyDescent="0.25">
      <c r="A329" t="s">
        <v>1301</v>
      </c>
      <c r="B329" s="1">
        <v>45132</v>
      </c>
      <c r="C329">
        <v>2023</v>
      </c>
      <c r="D329" t="s">
        <v>28</v>
      </c>
      <c r="E329" t="s">
        <v>1302</v>
      </c>
      <c r="F329" t="s">
        <v>30</v>
      </c>
      <c r="G329">
        <v>1</v>
      </c>
      <c r="H329">
        <v>359.99</v>
      </c>
      <c r="I329" t="s">
        <v>304</v>
      </c>
      <c r="J329" t="s">
        <v>67</v>
      </c>
      <c r="K329" t="s">
        <v>40</v>
      </c>
      <c r="L329" t="s">
        <v>1303</v>
      </c>
      <c r="M329">
        <v>5</v>
      </c>
      <c r="N329" t="s">
        <v>25</v>
      </c>
      <c r="O329" t="s">
        <v>43</v>
      </c>
      <c r="P329">
        <v>359.99</v>
      </c>
      <c r="Q329">
        <v>359.99</v>
      </c>
      <c r="R329" t="str">
        <f>IF(OR(P329&lt;Outliers!$B$5, P329&gt;Outliers!$B$6), "outliers", "")</f>
        <v/>
      </c>
    </row>
    <row r="330" spans="1:18" x14ac:dyDescent="0.25">
      <c r="A330" t="s">
        <v>1304</v>
      </c>
      <c r="B330" s="1">
        <v>44985</v>
      </c>
      <c r="C330">
        <v>2023</v>
      </c>
      <c r="D330" t="s">
        <v>18</v>
      </c>
      <c r="E330" t="s">
        <v>1305</v>
      </c>
      <c r="F330" t="s">
        <v>37</v>
      </c>
      <c r="G330">
        <v>5</v>
      </c>
      <c r="H330">
        <v>674.04</v>
      </c>
      <c r="I330" t="s">
        <v>1306</v>
      </c>
      <c r="J330" t="s">
        <v>32</v>
      </c>
      <c r="K330" t="s">
        <v>40</v>
      </c>
      <c r="L330" t="s">
        <v>1307</v>
      </c>
      <c r="M330">
        <v>7</v>
      </c>
      <c r="N330" t="s">
        <v>25</v>
      </c>
      <c r="O330" t="s">
        <v>83</v>
      </c>
      <c r="P330">
        <v>3370.2</v>
      </c>
      <c r="Q330">
        <v>3370.2</v>
      </c>
      <c r="R330" t="str">
        <f>IF(OR(P330&lt;Outliers!$B$5, P330&gt;Outliers!$B$6), "outliers", "")</f>
        <v>outliers</v>
      </c>
    </row>
    <row r="331" spans="1:18" x14ac:dyDescent="0.25">
      <c r="A331" t="s">
        <v>1308</v>
      </c>
      <c r="B331" s="1">
        <v>45651</v>
      </c>
      <c r="C331">
        <v>2024</v>
      </c>
      <c r="D331" t="s">
        <v>45</v>
      </c>
      <c r="E331" t="s">
        <v>1309</v>
      </c>
      <c r="F331" t="s">
        <v>47</v>
      </c>
      <c r="G331">
        <v>4</v>
      </c>
      <c r="H331">
        <v>283.16000000000003</v>
      </c>
      <c r="I331" t="s">
        <v>995</v>
      </c>
      <c r="J331" t="s">
        <v>39</v>
      </c>
      <c r="K331" t="s">
        <v>23</v>
      </c>
      <c r="L331" t="s">
        <v>1310</v>
      </c>
      <c r="M331">
        <v>6</v>
      </c>
      <c r="O331" t="s">
        <v>83</v>
      </c>
      <c r="P331">
        <v>1132.6400000000001</v>
      </c>
      <c r="Q331">
        <v>1132.6400000000001</v>
      </c>
      <c r="R331" t="str">
        <f>IF(OR(P331&lt;Outliers!$B$5, P331&gt;Outliers!$B$6), "outliers", "")</f>
        <v/>
      </c>
    </row>
    <row r="332" spans="1:18" x14ac:dyDescent="0.25">
      <c r="A332" t="s">
        <v>1311</v>
      </c>
      <c r="B332" s="1">
        <v>45445</v>
      </c>
      <c r="C332">
        <v>2024</v>
      </c>
      <c r="D332" t="s">
        <v>53</v>
      </c>
      <c r="E332" t="s">
        <v>1312</v>
      </c>
      <c r="F332" t="s">
        <v>80</v>
      </c>
      <c r="G332">
        <v>5</v>
      </c>
      <c r="H332">
        <v>260.52999999999997</v>
      </c>
      <c r="I332" t="s">
        <v>1313</v>
      </c>
      <c r="J332" t="s">
        <v>67</v>
      </c>
      <c r="K332" t="s">
        <v>96</v>
      </c>
      <c r="L332" t="s">
        <v>1314</v>
      </c>
      <c r="M332">
        <v>5</v>
      </c>
      <c r="N332" t="s">
        <v>25</v>
      </c>
      <c r="O332" t="s">
        <v>26</v>
      </c>
      <c r="P332">
        <v>1302.6500000000001</v>
      </c>
      <c r="Q332">
        <v>1302.6500000000001</v>
      </c>
      <c r="R332" t="str">
        <f>IF(OR(P332&lt;Outliers!$B$5, P332&gt;Outliers!$B$6), "outliers", "")</f>
        <v/>
      </c>
    </row>
    <row r="333" spans="1:18" x14ac:dyDescent="0.25">
      <c r="A333" t="s">
        <v>1315</v>
      </c>
      <c r="B333" s="1">
        <v>45031</v>
      </c>
      <c r="C333">
        <v>2023</v>
      </c>
      <c r="D333" t="s">
        <v>53</v>
      </c>
      <c r="E333" t="s">
        <v>1316</v>
      </c>
      <c r="F333" t="s">
        <v>55</v>
      </c>
      <c r="G333">
        <v>3</v>
      </c>
      <c r="H333">
        <v>422.13</v>
      </c>
      <c r="I333" t="s">
        <v>517</v>
      </c>
      <c r="J333" t="s">
        <v>32</v>
      </c>
      <c r="K333" t="s">
        <v>57</v>
      </c>
      <c r="L333" t="s">
        <v>1317</v>
      </c>
      <c r="M333">
        <v>7</v>
      </c>
      <c r="N333" t="s">
        <v>25</v>
      </c>
      <c r="O333" t="s">
        <v>51</v>
      </c>
      <c r="P333">
        <v>1266.3900000000001</v>
      </c>
      <c r="Q333">
        <v>1266.3900000000001</v>
      </c>
      <c r="R333" t="str">
        <f>IF(OR(P333&lt;Outliers!$B$5, P333&gt;Outliers!$B$6), "outliers", "")</f>
        <v/>
      </c>
    </row>
    <row r="334" spans="1:18" x14ac:dyDescent="0.25">
      <c r="A334" t="s">
        <v>1318</v>
      </c>
      <c r="B334" s="1">
        <v>45476</v>
      </c>
      <c r="C334">
        <v>2024</v>
      </c>
      <c r="D334" t="s">
        <v>28</v>
      </c>
      <c r="E334" t="s">
        <v>1319</v>
      </c>
      <c r="F334" t="s">
        <v>80</v>
      </c>
      <c r="G334">
        <v>5</v>
      </c>
      <c r="H334">
        <v>125.02</v>
      </c>
      <c r="I334" t="s">
        <v>1320</v>
      </c>
      <c r="J334" t="s">
        <v>22</v>
      </c>
      <c r="K334" t="s">
        <v>96</v>
      </c>
      <c r="L334" t="s">
        <v>1321</v>
      </c>
      <c r="M334">
        <v>9</v>
      </c>
      <c r="N334" t="s">
        <v>25</v>
      </c>
      <c r="O334" t="s">
        <v>83</v>
      </c>
      <c r="P334">
        <v>625.1</v>
      </c>
      <c r="Q334">
        <v>625.1</v>
      </c>
      <c r="R334" t="str">
        <f>IF(OR(P334&lt;Outliers!$B$5, P334&gt;Outliers!$B$6), "outliers", "")</f>
        <v/>
      </c>
    </row>
    <row r="335" spans="1:18" x14ac:dyDescent="0.25">
      <c r="A335" t="s">
        <v>1322</v>
      </c>
      <c r="B335" s="1">
        <v>45398</v>
      </c>
      <c r="C335">
        <v>2024</v>
      </c>
      <c r="D335" t="s">
        <v>53</v>
      </c>
      <c r="E335" t="s">
        <v>1323</v>
      </c>
      <c r="F335" t="s">
        <v>30</v>
      </c>
      <c r="G335">
        <v>1</v>
      </c>
      <c r="H335">
        <v>198.51</v>
      </c>
      <c r="I335" t="s">
        <v>1324</v>
      </c>
      <c r="J335" t="s">
        <v>39</v>
      </c>
      <c r="K335" t="s">
        <v>49</v>
      </c>
      <c r="L335" t="s">
        <v>1325</v>
      </c>
      <c r="M335">
        <v>5</v>
      </c>
      <c r="N335" t="s">
        <v>88</v>
      </c>
      <c r="O335" t="s">
        <v>26</v>
      </c>
      <c r="P335">
        <v>198.51</v>
      </c>
      <c r="Q335">
        <v>198.51</v>
      </c>
      <c r="R335" t="str">
        <f>IF(OR(P335&lt;Outliers!$B$5, P335&gt;Outliers!$B$6), "outliers", "")</f>
        <v/>
      </c>
    </row>
    <row r="336" spans="1:18" x14ac:dyDescent="0.25">
      <c r="A336" t="s">
        <v>1326</v>
      </c>
      <c r="B336" s="1">
        <v>45377</v>
      </c>
      <c r="C336">
        <v>2024</v>
      </c>
      <c r="D336" t="s">
        <v>18</v>
      </c>
      <c r="E336" t="s">
        <v>1327</v>
      </c>
      <c r="F336" t="s">
        <v>47</v>
      </c>
      <c r="G336">
        <v>4</v>
      </c>
      <c r="H336">
        <v>224.75</v>
      </c>
      <c r="I336" t="s">
        <v>1328</v>
      </c>
      <c r="J336" t="s">
        <v>32</v>
      </c>
      <c r="K336" t="s">
        <v>57</v>
      </c>
      <c r="L336" t="s">
        <v>1329</v>
      </c>
      <c r="M336">
        <v>7</v>
      </c>
      <c r="N336" t="s">
        <v>88</v>
      </c>
      <c r="O336" t="s">
        <v>51</v>
      </c>
      <c r="P336">
        <v>899</v>
      </c>
      <c r="Q336">
        <v>899</v>
      </c>
      <c r="R336" t="str">
        <f>IF(OR(P336&lt;Outliers!$B$5, P336&gt;Outliers!$B$6), "outliers", "")</f>
        <v/>
      </c>
    </row>
    <row r="337" spans="1:18" x14ac:dyDescent="0.25">
      <c r="A337" t="s">
        <v>1330</v>
      </c>
      <c r="B337" s="1">
        <v>45719</v>
      </c>
      <c r="C337">
        <v>2025</v>
      </c>
      <c r="D337" t="s">
        <v>18</v>
      </c>
      <c r="E337" t="s">
        <v>1331</v>
      </c>
      <c r="F337" t="s">
        <v>37</v>
      </c>
      <c r="G337">
        <v>3</v>
      </c>
      <c r="H337">
        <v>205.86</v>
      </c>
      <c r="I337" t="s">
        <v>1251</v>
      </c>
      <c r="J337" t="s">
        <v>67</v>
      </c>
      <c r="K337" t="s">
        <v>23</v>
      </c>
      <c r="L337" t="s">
        <v>1332</v>
      </c>
      <c r="M337">
        <v>4</v>
      </c>
      <c r="O337" t="s">
        <v>43</v>
      </c>
      <c r="P337">
        <v>617.58000000000004</v>
      </c>
      <c r="Q337">
        <v>617.58000000000004</v>
      </c>
      <c r="R337" t="str">
        <f>IF(OR(P337&lt;Outliers!$B$5, P337&gt;Outliers!$B$6), "outliers", "")</f>
        <v/>
      </c>
    </row>
    <row r="338" spans="1:18" x14ac:dyDescent="0.25">
      <c r="A338" t="s">
        <v>1333</v>
      </c>
      <c r="B338" s="1">
        <v>45289</v>
      </c>
      <c r="C338">
        <v>2023</v>
      </c>
      <c r="D338" t="s">
        <v>45</v>
      </c>
      <c r="E338" t="s">
        <v>1334</v>
      </c>
      <c r="F338" t="s">
        <v>65</v>
      </c>
      <c r="G338">
        <v>1</v>
      </c>
      <c r="H338">
        <v>18.2</v>
      </c>
      <c r="I338" t="s">
        <v>1335</v>
      </c>
      <c r="J338" t="s">
        <v>22</v>
      </c>
      <c r="K338" t="s">
        <v>96</v>
      </c>
      <c r="L338" t="s">
        <v>1336</v>
      </c>
      <c r="M338">
        <v>4</v>
      </c>
      <c r="N338" t="s">
        <v>25</v>
      </c>
      <c r="O338" t="s">
        <v>26</v>
      </c>
      <c r="P338">
        <v>18.2</v>
      </c>
      <c r="Q338">
        <v>18.2</v>
      </c>
      <c r="R338" t="str">
        <f>IF(OR(P338&lt;Outliers!$B$5, P338&gt;Outliers!$B$6), "outliers", "")</f>
        <v/>
      </c>
    </row>
    <row r="339" spans="1:18" x14ac:dyDescent="0.25">
      <c r="A339" t="s">
        <v>1337</v>
      </c>
      <c r="B339" s="1">
        <v>45075</v>
      </c>
      <c r="C339">
        <v>2023</v>
      </c>
      <c r="D339" t="s">
        <v>53</v>
      </c>
      <c r="E339" t="s">
        <v>1338</v>
      </c>
      <c r="F339" t="s">
        <v>37</v>
      </c>
      <c r="G339">
        <v>3</v>
      </c>
      <c r="H339">
        <v>502.77</v>
      </c>
      <c r="I339" t="s">
        <v>1339</v>
      </c>
      <c r="J339" t="s">
        <v>22</v>
      </c>
      <c r="K339" t="s">
        <v>49</v>
      </c>
      <c r="L339" t="s">
        <v>1340</v>
      </c>
      <c r="M339">
        <v>8</v>
      </c>
      <c r="N339" t="s">
        <v>88</v>
      </c>
      <c r="O339" t="s">
        <v>43</v>
      </c>
      <c r="P339">
        <v>1508.31</v>
      </c>
      <c r="Q339">
        <v>1508.31</v>
      </c>
      <c r="R339" t="str">
        <f>IF(OR(P339&lt;Outliers!$B$5, P339&gt;Outliers!$B$6), "outliers", "")</f>
        <v/>
      </c>
    </row>
    <row r="340" spans="1:18" x14ac:dyDescent="0.25">
      <c r="A340" t="s">
        <v>1341</v>
      </c>
      <c r="B340" s="1">
        <v>45238</v>
      </c>
      <c r="C340">
        <v>2023</v>
      </c>
      <c r="D340" t="s">
        <v>45</v>
      </c>
      <c r="E340" t="s">
        <v>1342</v>
      </c>
      <c r="F340" t="s">
        <v>30</v>
      </c>
      <c r="G340">
        <v>5</v>
      </c>
      <c r="H340">
        <v>305.49</v>
      </c>
      <c r="I340" t="s">
        <v>1343</v>
      </c>
      <c r="J340" t="s">
        <v>22</v>
      </c>
      <c r="K340" t="s">
        <v>23</v>
      </c>
      <c r="L340" t="s">
        <v>1344</v>
      </c>
      <c r="M340">
        <v>10</v>
      </c>
      <c r="O340" t="s">
        <v>34</v>
      </c>
      <c r="P340">
        <v>1527.45</v>
      </c>
      <c r="Q340">
        <v>1527.45</v>
      </c>
      <c r="R340" t="str">
        <f>IF(OR(P340&lt;Outliers!$B$5, P340&gt;Outliers!$B$6), "outliers", "")</f>
        <v/>
      </c>
    </row>
    <row r="341" spans="1:18" x14ac:dyDescent="0.25">
      <c r="A341" t="s">
        <v>1345</v>
      </c>
      <c r="B341" s="1">
        <v>45392</v>
      </c>
      <c r="C341">
        <v>2024</v>
      </c>
      <c r="D341" t="s">
        <v>53</v>
      </c>
      <c r="E341" t="s">
        <v>1346</v>
      </c>
      <c r="F341" t="s">
        <v>55</v>
      </c>
      <c r="G341">
        <v>2</v>
      </c>
      <c r="H341">
        <v>236.33</v>
      </c>
      <c r="I341" t="s">
        <v>1347</v>
      </c>
      <c r="J341" t="s">
        <v>32</v>
      </c>
      <c r="K341" t="s">
        <v>96</v>
      </c>
      <c r="L341" t="s">
        <v>1348</v>
      </c>
      <c r="M341">
        <v>3</v>
      </c>
      <c r="N341" t="s">
        <v>25</v>
      </c>
      <c r="O341" t="s">
        <v>26</v>
      </c>
      <c r="P341">
        <v>472.66</v>
      </c>
      <c r="Q341">
        <v>472.66</v>
      </c>
      <c r="R341" t="str">
        <f>IF(OR(P341&lt;Outliers!$B$5, P341&gt;Outliers!$B$6), "outliers", "")</f>
        <v/>
      </c>
    </row>
    <row r="342" spans="1:18" x14ac:dyDescent="0.25">
      <c r="A342" t="s">
        <v>1349</v>
      </c>
      <c r="B342" s="1">
        <v>45039</v>
      </c>
      <c r="C342">
        <v>2023</v>
      </c>
      <c r="D342" t="s">
        <v>53</v>
      </c>
      <c r="E342" t="s">
        <v>1350</v>
      </c>
      <c r="F342" t="s">
        <v>65</v>
      </c>
      <c r="G342">
        <v>5</v>
      </c>
      <c r="H342">
        <v>521.25</v>
      </c>
      <c r="I342" t="s">
        <v>1351</v>
      </c>
      <c r="J342" t="s">
        <v>72</v>
      </c>
      <c r="K342" t="s">
        <v>40</v>
      </c>
      <c r="L342" t="s">
        <v>1352</v>
      </c>
      <c r="M342">
        <v>8</v>
      </c>
      <c r="O342" t="s">
        <v>43</v>
      </c>
      <c r="P342">
        <v>2606.25</v>
      </c>
      <c r="Q342">
        <v>2606.25</v>
      </c>
      <c r="R342" t="str">
        <f>IF(OR(P342&lt;Outliers!$B$5, P342&gt;Outliers!$B$6), "outliers", "")</f>
        <v/>
      </c>
    </row>
    <row r="343" spans="1:18" x14ac:dyDescent="0.25">
      <c r="A343" t="s">
        <v>1353</v>
      </c>
      <c r="B343" s="1">
        <v>45558</v>
      </c>
      <c r="C343">
        <v>2024</v>
      </c>
      <c r="D343" t="s">
        <v>28</v>
      </c>
      <c r="E343" t="s">
        <v>1354</v>
      </c>
      <c r="F343" t="s">
        <v>37</v>
      </c>
      <c r="G343">
        <v>1</v>
      </c>
      <c r="H343">
        <v>167.15</v>
      </c>
      <c r="I343" t="s">
        <v>1355</v>
      </c>
      <c r="J343" t="s">
        <v>67</v>
      </c>
      <c r="K343" t="s">
        <v>23</v>
      </c>
      <c r="L343" t="s">
        <v>1356</v>
      </c>
      <c r="M343">
        <v>5</v>
      </c>
      <c r="N343" t="s">
        <v>88</v>
      </c>
      <c r="O343" t="s">
        <v>43</v>
      </c>
      <c r="P343">
        <v>167.15</v>
      </c>
      <c r="Q343">
        <v>167.15</v>
      </c>
      <c r="R343" t="str">
        <f>IF(OR(P343&lt;Outliers!$B$5, P343&gt;Outliers!$B$6), "outliers", "")</f>
        <v/>
      </c>
    </row>
    <row r="344" spans="1:18" x14ac:dyDescent="0.25">
      <c r="A344" t="s">
        <v>1357</v>
      </c>
      <c r="B344" s="1">
        <v>45832</v>
      </c>
      <c r="C344">
        <v>2025</v>
      </c>
      <c r="D344" t="s">
        <v>53</v>
      </c>
      <c r="E344" t="s">
        <v>1358</v>
      </c>
      <c r="F344" t="s">
        <v>20</v>
      </c>
      <c r="G344">
        <v>5</v>
      </c>
      <c r="H344">
        <v>466.42</v>
      </c>
      <c r="I344" t="s">
        <v>1359</v>
      </c>
      <c r="J344" t="s">
        <v>67</v>
      </c>
      <c r="K344" t="s">
        <v>49</v>
      </c>
      <c r="L344" t="s">
        <v>1360</v>
      </c>
      <c r="M344">
        <v>5</v>
      </c>
      <c r="O344" t="s">
        <v>34</v>
      </c>
      <c r="P344">
        <v>2332.1</v>
      </c>
      <c r="Q344">
        <v>2332.1</v>
      </c>
      <c r="R344" t="str">
        <f>IF(OR(P344&lt;Outliers!$B$5, P344&gt;Outliers!$B$6), "outliers", "")</f>
        <v/>
      </c>
    </row>
    <row r="345" spans="1:18" x14ac:dyDescent="0.25">
      <c r="A345" t="s">
        <v>1361</v>
      </c>
      <c r="B345" s="1">
        <v>44983</v>
      </c>
      <c r="C345">
        <v>2023</v>
      </c>
      <c r="D345" t="s">
        <v>18</v>
      </c>
      <c r="E345" t="s">
        <v>1362</v>
      </c>
      <c r="F345" t="s">
        <v>55</v>
      </c>
      <c r="G345">
        <v>1</v>
      </c>
      <c r="H345">
        <v>527.57000000000005</v>
      </c>
      <c r="I345" t="s">
        <v>1363</v>
      </c>
      <c r="J345" t="s">
        <v>22</v>
      </c>
      <c r="K345" t="s">
        <v>96</v>
      </c>
      <c r="L345" t="s">
        <v>1364</v>
      </c>
      <c r="M345">
        <v>3</v>
      </c>
      <c r="N345" t="s">
        <v>42</v>
      </c>
      <c r="O345" t="s">
        <v>51</v>
      </c>
      <c r="P345">
        <v>527.57000000000005</v>
      </c>
      <c r="Q345">
        <v>527.57000000000005</v>
      </c>
      <c r="R345" t="str">
        <f>IF(OR(P345&lt;Outliers!$B$5, P345&gt;Outliers!$B$6), "outliers", "")</f>
        <v/>
      </c>
    </row>
    <row r="346" spans="1:18" x14ac:dyDescent="0.25">
      <c r="A346" t="s">
        <v>1365</v>
      </c>
      <c r="B346" s="1">
        <v>45722</v>
      </c>
      <c r="C346">
        <v>2025</v>
      </c>
      <c r="D346" t="s">
        <v>18</v>
      </c>
      <c r="E346" t="s">
        <v>1366</v>
      </c>
      <c r="F346" t="s">
        <v>37</v>
      </c>
      <c r="G346">
        <v>3</v>
      </c>
      <c r="H346">
        <v>623.34</v>
      </c>
      <c r="I346" t="s">
        <v>1367</v>
      </c>
      <c r="J346" t="s">
        <v>32</v>
      </c>
      <c r="K346" t="s">
        <v>40</v>
      </c>
      <c r="L346" t="s">
        <v>1368</v>
      </c>
      <c r="M346">
        <v>3</v>
      </c>
      <c r="N346" t="s">
        <v>25</v>
      </c>
      <c r="O346" t="s">
        <v>26</v>
      </c>
      <c r="P346">
        <v>1870.02</v>
      </c>
      <c r="Q346">
        <v>1870.02</v>
      </c>
      <c r="R346" t="str">
        <f>IF(OR(P346&lt;Outliers!$B$5, P346&gt;Outliers!$B$6), "outliers", "")</f>
        <v/>
      </c>
    </row>
    <row r="347" spans="1:18" x14ac:dyDescent="0.25">
      <c r="A347" t="s">
        <v>1369</v>
      </c>
      <c r="B347" s="1">
        <v>45267</v>
      </c>
      <c r="C347">
        <v>2023</v>
      </c>
      <c r="D347" t="s">
        <v>45</v>
      </c>
      <c r="E347" t="s">
        <v>1370</v>
      </c>
      <c r="F347" t="s">
        <v>37</v>
      </c>
      <c r="G347">
        <v>5</v>
      </c>
      <c r="H347">
        <v>501.26</v>
      </c>
      <c r="I347" t="s">
        <v>1371</v>
      </c>
      <c r="J347" t="s">
        <v>67</v>
      </c>
      <c r="K347" t="s">
        <v>23</v>
      </c>
      <c r="L347" t="s">
        <v>1372</v>
      </c>
      <c r="M347">
        <v>10</v>
      </c>
      <c r="N347" t="s">
        <v>42</v>
      </c>
      <c r="O347" t="s">
        <v>34</v>
      </c>
      <c r="P347">
        <v>2506.3000000000002</v>
      </c>
      <c r="Q347">
        <v>2506.3000000000002</v>
      </c>
      <c r="R347" t="str">
        <f>IF(OR(P347&lt;Outliers!$B$5, P347&gt;Outliers!$B$6), "outliers", "")</f>
        <v/>
      </c>
    </row>
    <row r="348" spans="1:18" x14ac:dyDescent="0.25">
      <c r="A348" t="s">
        <v>1373</v>
      </c>
      <c r="B348" s="1">
        <v>45632</v>
      </c>
      <c r="C348">
        <v>2024</v>
      </c>
      <c r="D348" t="s">
        <v>45</v>
      </c>
      <c r="E348" t="s">
        <v>1374</v>
      </c>
      <c r="F348" t="s">
        <v>37</v>
      </c>
      <c r="G348">
        <v>1</v>
      </c>
      <c r="H348">
        <v>655.09</v>
      </c>
      <c r="I348" t="s">
        <v>1375</v>
      </c>
      <c r="J348" t="s">
        <v>72</v>
      </c>
      <c r="K348" t="s">
        <v>96</v>
      </c>
      <c r="L348" t="s">
        <v>1376</v>
      </c>
      <c r="M348">
        <v>6</v>
      </c>
      <c r="O348" t="s">
        <v>34</v>
      </c>
      <c r="P348">
        <v>655.09</v>
      </c>
      <c r="Q348">
        <v>655.09</v>
      </c>
      <c r="R348" t="str">
        <f>IF(OR(P348&lt;Outliers!$B$5, P348&gt;Outliers!$B$6), "outliers", "")</f>
        <v/>
      </c>
    </row>
    <row r="349" spans="1:18" x14ac:dyDescent="0.25">
      <c r="A349" t="s">
        <v>1377</v>
      </c>
      <c r="B349" s="1">
        <v>45325</v>
      </c>
      <c r="C349">
        <v>2024</v>
      </c>
      <c r="D349" t="s">
        <v>18</v>
      </c>
      <c r="E349" t="s">
        <v>1378</v>
      </c>
      <c r="F349" t="s">
        <v>55</v>
      </c>
      <c r="G349">
        <v>4</v>
      </c>
      <c r="H349">
        <v>264.79000000000002</v>
      </c>
      <c r="I349" t="s">
        <v>1379</v>
      </c>
      <c r="J349" t="s">
        <v>39</v>
      </c>
      <c r="K349" t="s">
        <v>96</v>
      </c>
      <c r="L349" t="s">
        <v>1380</v>
      </c>
      <c r="M349">
        <v>5</v>
      </c>
      <c r="N349" t="s">
        <v>25</v>
      </c>
      <c r="O349" t="s">
        <v>83</v>
      </c>
      <c r="P349">
        <v>1059.1600000000001</v>
      </c>
      <c r="Q349">
        <v>1059.1600000000001</v>
      </c>
      <c r="R349" t="str">
        <f>IF(OR(P349&lt;Outliers!$B$5, P349&gt;Outliers!$B$6), "outliers", "")</f>
        <v/>
      </c>
    </row>
    <row r="350" spans="1:18" x14ac:dyDescent="0.25">
      <c r="A350" t="s">
        <v>1381</v>
      </c>
      <c r="B350" s="1">
        <v>45364</v>
      </c>
      <c r="C350">
        <v>2024</v>
      </c>
      <c r="D350" t="s">
        <v>18</v>
      </c>
      <c r="E350" t="s">
        <v>1382</v>
      </c>
      <c r="F350" t="s">
        <v>65</v>
      </c>
      <c r="G350">
        <v>3</v>
      </c>
      <c r="H350">
        <v>359.73</v>
      </c>
      <c r="I350" t="s">
        <v>1383</v>
      </c>
      <c r="J350" t="s">
        <v>22</v>
      </c>
      <c r="K350" t="s">
        <v>49</v>
      </c>
      <c r="L350" t="s">
        <v>1384</v>
      </c>
      <c r="M350">
        <v>7</v>
      </c>
      <c r="N350" t="s">
        <v>42</v>
      </c>
      <c r="O350" t="s">
        <v>43</v>
      </c>
      <c r="P350">
        <v>1079.19</v>
      </c>
      <c r="Q350">
        <v>1079.19</v>
      </c>
      <c r="R350" t="str">
        <f>IF(OR(P350&lt;Outliers!$B$5, P350&gt;Outliers!$B$6), "outliers", "")</f>
        <v/>
      </c>
    </row>
    <row r="351" spans="1:18" x14ac:dyDescent="0.25">
      <c r="A351" t="s">
        <v>1385</v>
      </c>
      <c r="B351" s="1">
        <v>45260</v>
      </c>
      <c r="C351">
        <v>2023</v>
      </c>
      <c r="D351" t="s">
        <v>45</v>
      </c>
      <c r="E351" t="s">
        <v>1386</v>
      </c>
      <c r="F351" t="s">
        <v>47</v>
      </c>
      <c r="G351">
        <v>1</v>
      </c>
      <c r="H351">
        <v>465.33</v>
      </c>
      <c r="I351" t="s">
        <v>1387</v>
      </c>
      <c r="J351" t="s">
        <v>67</v>
      </c>
      <c r="K351" t="s">
        <v>57</v>
      </c>
      <c r="L351" t="s">
        <v>1388</v>
      </c>
      <c r="M351">
        <v>2</v>
      </c>
      <c r="N351" t="s">
        <v>42</v>
      </c>
      <c r="O351" t="s">
        <v>83</v>
      </c>
      <c r="P351">
        <v>465.33</v>
      </c>
      <c r="Q351">
        <v>465.33</v>
      </c>
      <c r="R351" t="str">
        <f>IF(OR(P351&lt;Outliers!$B$5, P351&gt;Outliers!$B$6), "outliers", "")</f>
        <v/>
      </c>
    </row>
    <row r="352" spans="1:18" x14ac:dyDescent="0.25">
      <c r="A352" t="s">
        <v>1389</v>
      </c>
      <c r="B352" s="1">
        <v>45080</v>
      </c>
      <c r="C352">
        <v>2023</v>
      </c>
      <c r="D352" t="s">
        <v>53</v>
      </c>
      <c r="E352" t="s">
        <v>1390</v>
      </c>
      <c r="F352" t="s">
        <v>47</v>
      </c>
      <c r="G352">
        <v>2</v>
      </c>
      <c r="H352">
        <v>54.41</v>
      </c>
      <c r="I352" t="s">
        <v>1391</v>
      </c>
      <c r="J352" t="s">
        <v>32</v>
      </c>
      <c r="K352" t="s">
        <v>23</v>
      </c>
      <c r="L352" t="s">
        <v>1392</v>
      </c>
      <c r="M352">
        <v>6</v>
      </c>
      <c r="O352" t="s">
        <v>26</v>
      </c>
      <c r="P352">
        <v>108.82</v>
      </c>
      <c r="Q352">
        <v>108.82</v>
      </c>
      <c r="R352" t="str">
        <f>IF(OR(P352&lt;Outliers!$B$5, P352&gt;Outliers!$B$6), "outliers", "")</f>
        <v/>
      </c>
    </row>
    <row r="353" spans="1:18" x14ac:dyDescent="0.25">
      <c r="A353" t="s">
        <v>1393</v>
      </c>
      <c r="B353" s="1">
        <v>45703</v>
      </c>
      <c r="C353">
        <v>2025</v>
      </c>
      <c r="D353" t="s">
        <v>18</v>
      </c>
      <c r="E353" t="s">
        <v>1394</v>
      </c>
      <c r="F353" t="s">
        <v>65</v>
      </c>
      <c r="G353">
        <v>1</v>
      </c>
      <c r="H353">
        <v>64.66</v>
      </c>
      <c r="I353" t="s">
        <v>1395</v>
      </c>
      <c r="J353" t="s">
        <v>22</v>
      </c>
      <c r="K353" t="s">
        <v>57</v>
      </c>
      <c r="L353" t="s">
        <v>1396</v>
      </c>
      <c r="M353">
        <v>4</v>
      </c>
      <c r="O353" t="s">
        <v>26</v>
      </c>
      <c r="P353">
        <v>64.66</v>
      </c>
      <c r="Q353">
        <v>64.66</v>
      </c>
      <c r="R353" t="str">
        <f>IF(OR(P353&lt;Outliers!$B$5, P353&gt;Outliers!$B$6), "outliers", "")</f>
        <v/>
      </c>
    </row>
    <row r="354" spans="1:18" x14ac:dyDescent="0.25">
      <c r="A354" t="s">
        <v>1397</v>
      </c>
      <c r="B354" s="1">
        <v>45169</v>
      </c>
      <c r="C354">
        <v>2023</v>
      </c>
      <c r="D354" t="s">
        <v>28</v>
      </c>
      <c r="E354" t="s">
        <v>1398</v>
      </c>
      <c r="F354" t="s">
        <v>47</v>
      </c>
      <c r="G354">
        <v>5</v>
      </c>
      <c r="H354">
        <v>173.96</v>
      </c>
      <c r="I354" t="s">
        <v>1399</v>
      </c>
      <c r="J354" t="s">
        <v>22</v>
      </c>
      <c r="K354" t="s">
        <v>96</v>
      </c>
      <c r="L354" t="s">
        <v>1400</v>
      </c>
      <c r="M354">
        <v>8</v>
      </c>
      <c r="N354" t="s">
        <v>88</v>
      </c>
      <c r="O354" t="s">
        <v>26</v>
      </c>
      <c r="P354">
        <v>869.8</v>
      </c>
      <c r="Q354">
        <v>869.8</v>
      </c>
      <c r="R354" t="str">
        <f>IF(OR(P354&lt;Outliers!$B$5, P354&gt;Outliers!$B$6), "outliers", "")</f>
        <v/>
      </c>
    </row>
    <row r="355" spans="1:18" x14ac:dyDescent="0.25">
      <c r="A355" t="s">
        <v>1401</v>
      </c>
      <c r="B355" s="1">
        <v>45744</v>
      </c>
      <c r="C355">
        <v>2025</v>
      </c>
      <c r="D355" t="s">
        <v>18</v>
      </c>
      <c r="E355" t="s">
        <v>1402</v>
      </c>
      <c r="F355" t="s">
        <v>37</v>
      </c>
      <c r="G355">
        <v>1</v>
      </c>
      <c r="H355">
        <v>630.82000000000005</v>
      </c>
      <c r="I355" t="s">
        <v>1403</v>
      </c>
      <c r="J355" t="s">
        <v>32</v>
      </c>
      <c r="K355" t="s">
        <v>57</v>
      </c>
      <c r="L355" t="s">
        <v>1404</v>
      </c>
      <c r="M355">
        <v>5</v>
      </c>
      <c r="N355" t="s">
        <v>42</v>
      </c>
      <c r="O355" t="s">
        <v>83</v>
      </c>
      <c r="P355">
        <v>630.82000000000005</v>
      </c>
      <c r="Q355">
        <v>630.82000000000005</v>
      </c>
      <c r="R355" t="str">
        <f>IF(OR(P355&lt;Outliers!$B$5, P355&gt;Outliers!$B$6), "outliers", "")</f>
        <v/>
      </c>
    </row>
    <row r="356" spans="1:18" x14ac:dyDescent="0.25">
      <c r="A356" t="s">
        <v>1405</v>
      </c>
      <c r="B356" s="1">
        <v>45118</v>
      </c>
      <c r="C356">
        <v>2023</v>
      </c>
      <c r="D356" t="s">
        <v>28</v>
      </c>
      <c r="E356" t="s">
        <v>1406</v>
      </c>
      <c r="F356" t="s">
        <v>30</v>
      </c>
      <c r="G356">
        <v>1</v>
      </c>
      <c r="H356">
        <v>693.41</v>
      </c>
      <c r="I356" t="s">
        <v>1407</v>
      </c>
      <c r="J356" t="s">
        <v>22</v>
      </c>
      <c r="K356" t="s">
        <v>23</v>
      </c>
      <c r="L356" t="s">
        <v>1408</v>
      </c>
      <c r="M356">
        <v>4</v>
      </c>
      <c r="O356" t="s">
        <v>26</v>
      </c>
      <c r="P356">
        <v>693.41</v>
      </c>
      <c r="Q356">
        <v>693.41</v>
      </c>
      <c r="R356" t="str">
        <f>IF(OR(P356&lt;Outliers!$B$5, P356&gt;Outliers!$B$6), "outliers", "")</f>
        <v/>
      </c>
    </row>
    <row r="357" spans="1:18" x14ac:dyDescent="0.25">
      <c r="A357" t="s">
        <v>1409</v>
      </c>
      <c r="B357" s="1">
        <v>45811</v>
      </c>
      <c r="C357">
        <v>2025</v>
      </c>
      <c r="D357" t="s">
        <v>53</v>
      </c>
      <c r="E357" t="s">
        <v>1410</v>
      </c>
      <c r="F357" t="s">
        <v>37</v>
      </c>
      <c r="G357">
        <v>3</v>
      </c>
      <c r="H357">
        <v>433.33</v>
      </c>
      <c r="I357" t="s">
        <v>1411</v>
      </c>
      <c r="J357" t="s">
        <v>39</v>
      </c>
      <c r="K357" t="s">
        <v>40</v>
      </c>
      <c r="L357" t="s">
        <v>1412</v>
      </c>
      <c r="M357">
        <v>4</v>
      </c>
      <c r="N357" t="s">
        <v>42</v>
      </c>
      <c r="O357" t="s">
        <v>34</v>
      </c>
      <c r="P357">
        <v>1299.99</v>
      </c>
      <c r="Q357">
        <v>1299.99</v>
      </c>
      <c r="R357" t="str">
        <f>IF(OR(P357&lt;Outliers!$B$5, P357&gt;Outliers!$B$6), "outliers", "")</f>
        <v/>
      </c>
    </row>
    <row r="358" spans="1:18" x14ac:dyDescent="0.25">
      <c r="A358" t="s">
        <v>1413</v>
      </c>
      <c r="B358" s="1">
        <v>45052</v>
      </c>
      <c r="C358">
        <v>2023</v>
      </c>
      <c r="D358" t="s">
        <v>53</v>
      </c>
      <c r="E358" t="s">
        <v>1414</v>
      </c>
      <c r="F358" t="s">
        <v>55</v>
      </c>
      <c r="G358">
        <v>5</v>
      </c>
      <c r="H358">
        <v>374.58</v>
      </c>
      <c r="I358" t="s">
        <v>1415</v>
      </c>
      <c r="J358" t="s">
        <v>67</v>
      </c>
      <c r="K358" t="s">
        <v>40</v>
      </c>
      <c r="L358" t="s">
        <v>1416</v>
      </c>
      <c r="M358">
        <v>10</v>
      </c>
      <c r="N358" t="s">
        <v>42</v>
      </c>
      <c r="O358" t="s">
        <v>26</v>
      </c>
      <c r="P358">
        <v>1872.9</v>
      </c>
      <c r="Q358">
        <v>1872.9</v>
      </c>
      <c r="R358" t="str">
        <f>IF(OR(P358&lt;Outliers!$B$5, P358&gt;Outliers!$B$6), "outliers", "")</f>
        <v/>
      </c>
    </row>
    <row r="359" spans="1:18" x14ac:dyDescent="0.25">
      <c r="A359" t="s">
        <v>1417</v>
      </c>
      <c r="B359" s="1">
        <v>45115</v>
      </c>
      <c r="C359">
        <v>2023</v>
      </c>
      <c r="D359" t="s">
        <v>28</v>
      </c>
      <c r="E359" t="s">
        <v>1418</v>
      </c>
      <c r="F359" t="s">
        <v>65</v>
      </c>
      <c r="G359">
        <v>5</v>
      </c>
      <c r="H359">
        <v>408.56</v>
      </c>
      <c r="I359" t="s">
        <v>1347</v>
      </c>
      <c r="J359" t="s">
        <v>22</v>
      </c>
      <c r="K359" t="s">
        <v>57</v>
      </c>
      <c r="L359" t="s">
        <v>1419</v>
      </c>
      <c r="M359">
        <v>8</v>
      </c>
      <c r="N359" t="s">
        <v>42</v>
      </c>
      <c r="O359" t="s">
        <v>26</v>
      </c>
      <c r="P359">
        <v>2042.8</v>
      </c>
      <c r="Q359">
        <v>2042.8</v>
      </c>
      <c r="R359" t="str">
        <f>IF(OR(P359&lt;Outliers!$B$5, P359&gt;Outliers!$B$6), "outliers", "")</f>
        <v/>
      </c>
    </row>
    <row r="360" spans="1:18" x14ac:dyDescent="0.25">
      <c r="A360" t="s">
        <v>1420</v>
      </c>
      <c r="B360" s="1">
        <v>45389</v>
      </c>
      <c r="C360">
        <v>2024</v>
      </c>
      <c r="D360" t="s">
        <v>53</v>
      </c>
      <c r="E360" t="s">
        <v>1421</v>
      </c>
      <c r="F360" t="s">
        <v>37</v>
      </c>
      <c r="G360">
        <v>2</v>
      </c>
      <c r="H360">
        <v>183.67</v>
      </c>
      <c r="I360" t="s">
        <v>1422</v>
      </c>
      <c r="J360" t="s">
        <v>32</v>
      </c>
      <c r="K360" t="s">
        <v>40</v>
      </c>
      <c r="L360" t="s">
        <v>1423</v>
      </c>
      <c r="M360">
        <v>3</v>
      </c>
      <c r="N360" t="s">
        <v>25</v>
      </c>
      <c r="O360" t="s">
        <v>83</v>
      </c>
      <c r="P360">
        <v>367.34</v>
      </c>
      <c r="Q360">
        <v>367.34</v>
      </c>
      <c r="R360" t="str">
        <f>IF(OR(P360&lt;Outliers!$B$5, P360&gt;Outliers!$B$6), "outliers", "")</f>
        <v/>
      </c>
    </row>
    <row r="361" spans="1:18" x14ac:dyDescent="0.25">
      <c r="A361" t="s">
        <v>1424</v>
      </c>
      <c r="B361" s="1">
        <v>45086</v>
      </c>
      <c r="C361">
        <v>2023</v>
      </c>
      <c r="D361" t="s">
        <v>53</v>
      </c>
      <c r="E361" t="s">
        <v>1425</v>
      </c>
      <c r="F361" t="s">
        <v>80</v>
      </c>
      <c r="G361">
        <v>4</v>
      </c>
      <c r="H361">
        <v>606.57000000000005</v>
      </c>
      <c r="I361" t="s">
        <v>1426</v>
      </c>
      <c r="J361" t="s">
        <v>22</v>
      </c>
      <c r="K361" t="s">
        <v>57</v>
      </c>
      <c r="L361" t="s">
        <v>1427</v>
      </c>
      <c r="M361">
        <v>5</v>
      </c>
      <c r="N361" t="s">
        <v>88</v>
      </c>
      <c r="O361" t="s">
        <v>34</v>
      </c>
      <c r="P361">
        <v>2426.2800000000002</v>
      </c>
      <c r="Q361">
        <v>2426.2800000000002</v>
      </c>
      <c r="R361" t="str">
        <f>IF(OR(P361&lt;Outliers!$B$5, P361&gt;Outliers!$B$6), "outliers", "")</f>
        <v/>
      </c>
    </row>
    <row r="362" spans="1:18" x14ac:dyDescent="0.25">
      <c r="A362" t="s">
        <v>1428</v>
      </c>
      <c r="B362" s="1">
        <v>45449</v>
      </c>
      <c r="C362">
        <v>2024</v>
      </c>
      <c r="D362" t="s">
        <v>53</v>
      </c>
      <c r="E362" t="s">
        <v>1429</v>
      </c>
      <c r="F362" t="s">
        <v>30</v>
      </c>
      <c r="G362">
        <v>4</v>
      </c>
      <c r="H362">
        <v>589.57000000000005</v>
      </c>
      <c r="I362" t="s">
        <v>1430</v>
      </c>
      <c r="J362" t="s">
        <v>72</v>
      </c>
      <c r="K362" t="s">
        <v>96</v>
      </c>
      <c r="L362" t="s">
        <v>1431</v>
      </c>
      <c r="M362">
        <v>8</v>
      </c>
      <c r="O362" t="s">
        <v>26</v>
      </c>
      <c r="P362">
        <v>2358.2800000000002</v>
      </c>
      <c r="Q362">
        <v>2358.2800000000002</v>
      </c>
      <c r="R362" t="str">
        <f>IF(OR(P362&lt;Outliers!$B$5, P362&gt;Outliers!$B$6), "outliers", "")</f>
        <v/>
      </c>
    </row>
    <row r="363" spans="1:18" x14ac:dyDescent="0.25">
      <c r="A363" t="s">
        <v>1432</v>
      </c>
      <c r="B363" s="1">
        <v>45472</v>
      </c>
      <c r="C363">
        <v>2024</v>
      </c>
      <c r="D363" t="s">
        <v>53</v>
      </c>
      <c r="E363" t="s">
        <v>1433</v>
      </c>
      <c r="F363" t="s">
        <v>55</v>
      </c>
      <c r="G363">
        <v>5</v>
      </c>
      <c r="H363">
        <v>659.85</v>
      </c>
      <c r="I363" t="s">
        <v>1434</v>
      </c>
      <c r="J363" t="s">
        <v>39</v>
      </c>
      <c r="K363" t="s">
        <v>57</v>
      </c>
      <c r="L363" t="s">
        <v>1435</v>
      </c>
      <c r="M363">
        <v>9</v>
      </c>
      <c r="N363" t="s">
        <v>25</v>
      </c>
      <c r="O363" t="s">
        <v>51</v>
      </c>
      <c r="P363">
        <v>3299.25</v>
      </c>
      <c r="Q363">
        <v>3299.25</v>
      </c>
      <c r="R363" t="str">
        <f>IF(OR(P363&lt;Outliers!$B$5, P363&gt;Outliers!$B$6), "outliers", "")</f>
        <v/>
      </c>
    </row>
    <row r="364" spans="1:18" x14ac:dyDescent="0.25">
      <c r="A364" t="s">
        <v>1436</v>
      </c>
      <c r="B364" s="1">
        <v>45104</v>
      </c>
      <c r="C364">
        <v>2023</v>
      </c>
      <c r="D364" t="s">
        <v>53</v>
      </c>
      <c r="E364" t="s">
        <v>1437</v>
      </c>
      <c r="F364" t="s">
        <v>20</v>
      </c>
      <c r="G364">
        <v>4</v>
      </c>
      <c r="H364">
        <v>206.84</v>
      </c>
      <c r="I364" t="s">
        <v>1438</v>
      </c>
      <c r="J364" t="s">
        <v>72</v>
      </c>
      <c r="K364" t="s">
        <v>40</v>
      </c>
      <c r="L364" t="s">
        <v>1439</v>
      </c>
      <c r="M364">
        <v>5</v>
      </c>
      <c r="N364" t="s">
        <v>88</v>
      </c>
      <c r="O364" t="s">
        <v>26</v>
      </c>
      <c r="P364">
        <v>827.36</v>
      </c>
      <c r="Q364">
        <v>827.36</v>
      </c>
      <c r="R364" t="str">
        <f>IF(OR(P364&lt;Outliers!$B$5, P364&gt;Outliers!$B$6), "outliers", "")</f>
        <v/>
      </c>
    </row>
    <row r="365" spans="1:18" x14ac:dyDescent="0.25">
      <c r="A365" t="s">
        <v>1440</v>
      </c>
      <c r="B365" s="1">
        <v>45436</v>
      </c>
      <c r="C365">
        <v>2024</v>
      </c>
      <c r="D365" t="s">
        <v>53</v>
      </c>
      <c r="E365" t="s">
        <v>1441</v>
      </c>
      <c r="F365" t="s">
        <v>65</v>
      </c>
      <c r="G365">
        <v>5</v>
      </c>
      <c r="H365">
        <v>113.87</v>
      </c>
      <c r="I365" t="s">
        <v>219</v>
      </c>
      <c r="J365" t="s">
        <v>39</v>
      </c>
      <c r="K365" t="s">
        <v>96</v>
      </c>
      <c r="L365" t="s">
        <v>1442</v>
      </c>
      <c r="M365">
        <v>6</v>
      </c>
      <c r="N365" t="s">
        <v>25</v>
      </c>
      <c r="O365" t="s">
        <v>43</v>
      </c>
      <c r="P365">
        <v>569.35</v>
      </c>
      <c r="Q365">
        <v>569.35</v>
      </c>
      <c r="R365" t="str">
        <f>IF(OR(P365&lt;Outliers!$B$5, P365&gt;Outliers!$B$6), "outliers", "")</f>
        <v/>
      </c>
    </row>
    <row r="366" spans="1:18" x14ac:dyDescent="0.25">
      <c r="A366" t="s">
        <v>1443</v>
      </c>
      <c r="B366" s="1">
        <v>45254</v>
      </c>
      <c r="C366">
        <v>2023</v>
      </c>
      <c r="D366" t="s">
        <v>45</v>
      </c>
      <c r="E366" t="s">
        <v>1444</v>
      </c>
      <c r="F366" t="s">
        <v>30</v>
      </c>
      <c r="G366">
        <v>5</v>
      </c>
      <c r="H366">
        <v>628.74</v>
      </c>
      <c r="I366" t="s">
        <v>1128</v>
      </c>
      <c r="J366" t="s">
        <v>72</v>
      </c>
      <c r="K366" t="s">
        <v>40</v>
      </c>
      <c r="L366" t="s">
        <v>1445</v>
      </c>
      <c r="M366">
        <v>9</v>
      </c>
      <c r="N366" t="s">
        <v>42</v>
      </c>
      <c r="O366" t="s">
        <v>51</v>
      </c>
      <c r="P366">
        <v>3143.7</v>
      </c>
      <c r="Q366">
        <v>3143.7</v>
      </c>
      <c r="R366" t="str">
        <f>IF(OR(P366&lt;Outliers!$B$5, P366&gt;Outliers!$B$6), "outliers", "")</f>
        <v/>
      </c>
    </row>
    <row r="367" spans="1:18" x14ac:dyDescent="0.25">
      <c r="A367" t="s">
        <v>1446</v>
      </c>
      <c r="B367" s="1">
        <v>45702</v>
      </c>
      <c r="C367">
        <v>2025</v>
      </c>
      <c r="D367" t="s">
        <v>18</v>
      </c>
      <c r="E367" t="s">
        <v>1447</v>
      </c>
      <c r="F367" t="s">
        <v>30</v>
      </c>
      <c r="G367">
        <v>1</v>
      </c>
      <c r="H367">
        <v>678.38</v>
      </c>
      <c r="I367" t="s">
        <v>1320</v>
      </c>
      <c r="J367" t="s">
        <v>39</v>
      </c>
      <c r="K367" t="s">
        <v>40</v>
      </c>
      <c r="L367" t="s">
        <v>1448</v>
      </c>
      <c r="M367">
        <v>4</v>
      </c>
      <c r="N367" t="s">
        <v>25</v>
      </c>
      <c r="O367" t="s">
        <v>34</v>
      </c>
      <c r="P367">
        <v>678.38</v>
      </c>
      <c r="Q367">
        <v>678.38</v>
      </c>
      <c r="R367" t="str">
        <f>IF(OR(P367&lt;Outliers!$B$5, P367&gt;Outliers!$B$6), "outliers", "")</f>
        <v/>
      </c>
    </row>
    <row r="368" spans="1:18" x14ac:dyDescent="0.25">
      <c r="A368" t="s">
        <v>1449</v>
      </c>
      <c r="B368" s="1">
        <v>44967</v>
      </c>
      <c r="C368">
        <v>2023</v>
      </c>
      <c r="D368" t="s">
        <v>18</v>
      </c>
      <c r="E368" t="s">
        <v>1450</v>
      </c>
      <c r="F368" t="s">
        <v>55</v>
      </c>
      <c r="G368">
        <v>3</v>
      </c>
      <c r="H368">
        <v>602.24</v>
      </c>
      <c r="I368" t="s">
        <v>1451</v>
      </c>
      <c r="J368" t="s">
        <v>22</v>
      </c>
      <c r="K368" t="s">
        <v>96</v>
      </c>
      <c r="L368" t="s">
        <v>1452</v>
      </c>
      <c r="M368">
        <v>8</v>
      </c>
      <c r="O368" t="s">
        <v>34</v>
      </c>
      <c r="P368">
        <v>1806.72</v>
      </c>
      <c r="Q368">
        <v>1806.72</v>
      </c>
      <c r="R368" t="str">
        <f>IF(OR(P368&lt;Outliers!$B$5, P368&gt;Outliers!$B$6), "outliers", "")</f>
        <v/>
      </c>
    </row>
    <row r="369" spans="1:18" x14ac:dyDescent="0.25">
      <c r="A369" t="s">
        <v>1453</v>
      </c>
      <c r="B369" s="1">
        <v>45407</v>
      </c>
      <c r="C369">
        <v>2024</v>
      </c>
      <c r="D369" t="s">
        <v>53</v>
      </c>
      <c r="E369" t="s">
        <v>1454</v>
      </c>
      <c r="F369" t="s">
        <v>65</v>
      </c>
      <c r="G369">
        <v>5</v>
      </c>
      <c r="H369">
        <v>658.77</v>
      </c>
      <c r="I369" t="s">
        <v>1039</v>
      </c>
      <c r="J369" t="s">
        <v>67</v>
      </c>
      <c r="K369" t="s">
        <v>96</v>
      </c>
      <c r="L369" t="s">
        <v>1455</v>
      </c>
      <c r="M369">
        <v>10</v>
      </c>
      <c r="N369" t="s">
        <v>42</v>
      </c>
      <c r="O369" t="s">
        <v>26</v>
      </c>
      <c r="P369">
        <v>3293.85</v>
      </c>
      <c r="Q369">
        <v>3293.85</v>
      </c>
      <c r="R369" t="str">
        <f>IF(OR(P369&lt;Outliers!$B$5, P369&gt;Outliers!$B$6), "outliers", "")</f>
        <v/>
      </c>
    </row>
    <row r="370" spans="1:18" x14ac:dyDescent="0.25">
      <c r="A370" t="s">
        <v>1456</v>
      </c>
      <c r="B370" s="1">
        <v>45047</v>
      </c>
      <c r="C370">
        <v>2023</v>
      </c>
      <c r="D370" t="s">
        <v>53</v>
      </c>
      <c r="E370" t="s">
        <v>1457</v>
      </c>
      <c r="F370" t="s">
        <v>20</v>
      </c>
      <c r="G370">
        <v>3</v>
      </c>
      <c r="H370">
        <v>271.02</v>
      </c>
      <c r="I370" t="s">
        <v>1458</v>
      </c>
      <c r="J370" t="s">
        <v>39</v>
      </c>
      <c r="K370" t="s">
        <v>40</v>
      </c>
      <c r="L370" t="s">
        <v>1459</v>
      </c>
      <c r="M370">
        <v>6</v>
      </c>
      <c r="O370" t="s">
        <v>83</v>
      </c>
      <c r="P370">
        <v>813.06</v>
      </c>
      <c r="Q370">
        <v>813.06</v>
      </c>
      <c r="R370" t="str">
        <f>IF(OR(P370&lt;Outliers!$B$5, P370&gt;Outliers!$B$6), "outliers", "")</f>
        <v/>
      </c>
    </row>
    <row r="371" spans="1:18" x14ac:dyDescent="0.25">
      <c r="A371" t="s">
        <v>1460</v>
      </c>
      <c r="B371" s="1">
        <v>45648</v>
      </c>
      <c r="C371">
        <v>2024</v>
      </c>
      <c r="D371" t="s">
        <v>45</v>
      </c>
      <c r="E371" t="s">
        <v>1461</v>
      </c>
      <c r="F371" t="s">
        <v>20</v>
      </c>
      <c r="G371">
        <v>5</v>
      </c>
      <c r="H371">
        <v>375.25</v>
      </c>
      <c r="I371" t="s">
        <v>1462</v>
      </c>
      <c r="J371" t="s">
        <v>67</v>
      </c>
      <c r="K371" t="s">
        <v>96</v>
      </c>
      <c r="L371" t="s">
        <v>1463</v>
      </c>
      <c r="M371">
        <v>9</v>
      </c>
      <c r="N371" t="s">
        <v>25</v>
      </c>
      <c r="O371" t="s">
        <v>43</v>
      </c>
      <c r="P371">
        <v>1876.25</v>
      </c>
      <c r="Q371">
        <v>1876.25</v>
      </c>
      <c r="R371" t="str">
        <f>IF(OR(P371&lt;Outliers!$B$5, P371&gt;Outliers!$B$6), "outliers", "")</f>
        <v/>
      </c>
    </row>
    <row r="372" spans="1:18" x14ac:dyDescent="0.25">
      <c r="A372" t="s">
        <v>1464</v>
      </c>
      <c r="B372" s="1">
        <v>45780</v>
      </c>
      <c r="C372">
        <v>2025</v>
      </c>
      <c r="D372" t="s">
        <v>53</v>
      </c>
      <c r="E372" t="s">
        <v>1465</v>
      </c>
      <c r="F372" t="s">
        <v>30</v>
      </c>
      <c r="G372">
        <v>1</v>
      </c>
      <c r="H372">
        <v>312.11</v>
      </c>
      <c r="I372" t="s">
        <v>1466</v>
      </c>
      <c r="J372" t="s">
        <v>32</v>
      </c>
      <c r="K372" t="s">
        <v>40</v>
      </c>
      <c r="L372" t="s">
        <v>1467</v>
      </c>
      <c r="M372">
        <v>4</v>
      </c>
      <c r="N372" t="s">
        <v>88</v>
      </c>
      <c r="O372" t="s">
        <v>51</v>
      </c>
      <c r="P372">
        <v>312.11</v>
      </c>
      <c r="Q372">
        <v>312.11</v>
      </c>
      <c r="R372" t="str">
        <f>IF(OR(P372&lt;Outliers!$B$5, P372&gt;Outliers!$B$6), "outliers", "")</f>
        <v/>
      </c>
    </row>
    <row r="373" spans="1:18" x14ac:dyDescent="0.25">
      <c r="A373" t="s">
        <v>1468</v>
      </c>
      <c r="B373" s="1">
        <v>44931</v>
      </c>
      <c r="C373">
        <v>2023</v>
      </c>
      <c r="D373" t="s">
        <v>18</v>
      </c>
      <c r="E373" t="s">
        <v>1469</v>
      </c>
      <c r="F373" t="s">
        <v>30</v>
      </c>
      <c r="G373">
        <v>5</v>
      </c>
      <c r="H373">
        <v>307.76</v>
      </c>
      <c r="I373" t="s">
        <v>95</v>
      </c>
      <c r="J373" t="s">
        <v>67</v>
      </c>
      <c r="K373" t="s">
        <v>96</v>
      </c>
      <c r="L373" t="s">
        <v>1470</v>
      </c>
      <c r="M373">
        <v>9</v>
      </c>
      <c r="N373" t="s">
        <v>42</v>
      </c>
      <c r="O373" t="s">
        <v>83</v>
      </c>
      <c r="P373">
        <v>1538.8</v>
      </c>
      <c r="Q373">
        <v>1538.8</v>
      </c>
      <c r="R373" t="str">
        <f>IF(OR(P373&lt;Outliers!$B$5, P373&gt;Outliers!$B$6), "outliers", "")</f>
        <v/>
      </c>
    </row>
    <row r="374" spans="1:18" x14ac:dyDescent="0.25">
      <c r="A374" t="s">
        <v>1471</v>
      </c>
      <c r="B374" s="1">
        <v>45702</v>
      </c>
      <c r="C374">
        <v>2025</v>
      </c>
      <c r="D374" t="s">
        <v>18</v>
      </c>
      <c r="E374" t="s">
        <v>1472</v>
      </c>
      <c r="F374" t="s">
        <v>47</v>
      </c>
      <c r="G374">
        <v>3</v>
      </c>
      <c r="H374">
        <v>483.53</v>
      </c>
      <c r="I374" t="s">
        <v>1473</v>
      </c>
      <c r="J374" t="s">
        <v>72</v>
      </c>
      <c r="K374" t="s">
        <v>49</v>
      </c>
      <c r="L374" t="s">
        <v>1474</v>
      </c>
      <c r="M374">
        <v>4</v>
      </c>
      <c r="O374" t="s">
        <v>34</v>
      </c>
      <c r="P374">
        <v>1450.59</v>
      </c>
      <c r="Q374">
        <v>1450.59</v>
      </c>
      <c r="R374" t="str">
        <f>IF(OR(P374&lt;Outliers!$B$5, P374&gt;Outliers!$B$6), "outliers", "")</f>
        <v/>
      </c>
    </row>
    <row r="375" spans="1:18" x14ac:dyDescent="0.25">
      <c r="A375" t="s">
        <v>1475</v>
      </c>
      <c r="B375" s="1">
        <v>44928</v>
      </c>
      <c r="C375">
        <v>2023</v>
      </c>
      <c r="D375" t="s">
        <v>18</v>
      </c>
      <c r="E375" t="s">
        <v>1476</v>
      </c>
      <c r="F375" t="s">
        <v>65</v>
      </c>
      <c r="G375">
        <v>3</v>
      </c>
      <c r="H375">
        <v>341.15</v>
      </c>
      <c r="I375" t="s">
        <v>1477</v>
      </c>
      <c r="J375" t="s">
        <v>72</v>
      </c>
      <c r="K375" t="s">
        <v>96</v>
      </c>
      <c r="L375" t="s">
        <v>1478</v>
      </c>
      <c r="M375">
        <v>4</v>
      </c>
      <c r="N375" t="s">
        <v>42</v>
      </c>
      <c r="O375" t="s">
        <v>26</v>
      </c>
      <c r="P375">
        <v>1023.45</v>
      </c>
      <c r="Q375">
        <v>1023.45</v>
      </c>
      <c r="R375" t="str">
        <f>IF(OR(P375&lt;Outliers!$B$5, P375&gt;Outliers!$B$6), "outliers", "")</f>
        <v/>
      </c>
    </row>
    <row r="376" spans="1:18" x14ac:dyDescent="0.25">
      <c r="A376" t="s">
        <v>1479</v>
      </c>
      <c r="B376" s="1">
        <v>45551</v>
      </c>
      <c r="C376">
        <v>2024</v>
      </c>
      <c r="D376" t="s">
        <v>28</v>
      </c>
      <c r="E376" t="s">
        <v>1480</v>
      </c>
      <c r="F376" t="s">
        <v>20</v>
      </c>
      <c r="G376">
        <v>1</v>
      </c>
      <c r="H376">
        <v>571.9</v>
      </c>
      <c r="I376" t="s">
        <v>334</v>
      </c>
      <c r="J376" t="s">
        <v>67</v>
      </c>
      <c r="K376" t="s">
        <v>96</v>
      </c>
      <c r="L376" t="s">
        <v>1481</v>
      </c>
      <c r="M376">
        <v>1</v>
      </c>
      <c r="N376" t="s">
        <v>88</v>
      </c>
      <c r="O376" t="s">
        <v>26</v>
      </c>
      <c r="P376">
        <v>571.9</v>
      </c>
      <c r="Q376">
        <v>571.9</v>
      </c>
      <c r="R376" t="str">
        <f>IF(OR(P376&lt;Outliers!$B$5, P376&gt;Outliers!$B$6), "outliers", "")</f>
        <v/>
      </c>
    </row>
    <row r="377" spans="1:18" x14ac:dyDescent="0.25">
      <c r="A377" t="s">
        <v>1482</v>
      </c>
      <c r="B377" s="1">
        <v>45673</v>
      </c>
      <c r="C377">
        <v>2025</v>
      </c>
      <c r="D377" t="s">
        <v>18</v>
      </c>
      <c r="E377" t="s">
        <v>1483</v>
      </c>
      <c r="F377" t="s">
        <v>20</v>
      </c>
      <c r="G377">
        <v>4</v>
      </c>
      <c r="H377">
        <v>95.03</v>
      </c>
      <c r="I377" t="s">
        <v>1484</v>
      </c>
      <c r="J377" t="s">
        <v>32</v>
      </c>
      <c r="K377" t="s">
        <v>23</v>
      </c>
      <c r="L377" t="s">
        <v>1485</v>
      </c>
      <c r="M377">
        <v>8</v>
      </c>
      <c r="N377" t="s">
        <v>42</v>
      </c>
      <c r="O377" t="s">
        <v>51</v>
      </c>
      <c r="P377">
        <v>380.12</v>
      </c>
      <c r="Q377">
        <v>380.12</v>
      </c>
      <c r="R377" t="str">
        <f>IF(OR(P377&lt;Outliers!$B$5, P377&gt;Outliers!$B$6), "outliers", "")</f>
        <v/>
      </c>
    </row>
    <row r="378" spans="1:18" x14ac:dyDescent="0.25">
      <c r="A378" t="s">
        <v>1486</v>
      </c>
      <c r="B378" s="1">
        <v>45162</v>
      </c>
      <c r="C378">
        <v>2023</v>
      </c>
      <c r="D378" t="s">
        <v>28</v>
      </c>
      <c r="E378" t="s">
        <v>1487</v>
      </c>
      <c r="F378" t="s">
        <v>20</v>
      </c>
      <c r="G378">
        <v>5</v>
      </c>
      <c r="H378">
        <v>201.22</v>
      </c>
      <c r="I378" t="s">
        <v>1488</v>
      </c>
      <c r="J378" t="s">
        <v>22</v>
      </c>
      <c r="K378" t="s">
        <v>96</v>
      </c>
      <c r="L378" t="s">
        <v>1489</v>
      </c>
      <c r="M378">
        <v>6</v>
      </c>
      <c r="N378" t="s">
        <v>42</v>
      </c>
      <c r="O378" t="s">
        <v>51</v>
      </c>
      <c r="P378">
        <v>1006.1</v>
      </c>
      <c r="Q378">
        <v>1006.1</v>
      </c>
      <c r="R378" t="str">
        <f>IF(OR(P378&lt;Outliers!$B$5, P378&gt;Outliers!$B$6), "outliers", "")</f>
        <v/>
      </c>
    </row>
    <row r="379" spans="1:18" x14ac:dyDescent="0.25">
      <c r="A379" t="s">
        <v>1490</v>
      </c>
      <c r="B379" s="1">
        <v>45495</v>
      </c>
      <c r="C379">
        <v>2024</v>
      </c>
      <c r="D379" t="s">
        <v>28</v>
      </c>
      <c r="E379" t="s">
        <v>1491</v>
      </c>
      <c r="F379" t="s">
        <v>20</v>
      </c>
      <c r="G379">
        <v>1</v>
      </c>
      <c r="H379">
        <v>260.26</v>
      </c>
      <c r="I379" t="s">
        <v>1236</v>
      </c>
      <c r="J379" t="s">
        <v>32</v>
      </c>
      <c r="K379" t="s">
        <v>96</v>
      </c>
      <c r="L379" t="s">
        <v>1492</v>
      </c>
      <c r="M379">
        <v>5</v>
      </c>
      <c r="N379" t="s">
        <v>88</v>
      </c>
      <c r="O379" t="s">
        <v>26</v>
      </c>
      <c r="P379">
        <v>260.26</v>
      </c>
      <c r="Q379">
        <v>260.26</v>
      </c>
      <c r="R379" t="str">
        <f>IF(OR(P379&lt;Outliers!$B$5, P379&gt;Outliers!$B$6), "outliers", "")</f>
        <v/>
      </c>
    </row>
    <row r="380" spans="1:18" x14ac:dyDescent="0.25">
      <c r="A380" t="s">
        <v>1493</v>
      </c>
      <c r="B380" s="1">
        <v>45323</v>
      </c>
      <c r="C380">
        <v>2024</v>
      </c>
      <c r="D380" t="s">
        <v>18</v>
      </c>
      <c r="E380" t="s">
        <v>1494</v>
      </c>
      <c r="F380" t="s">
        <v>47</v>
      </c>
      <c r="G380">
        <v>5</v>
      </c>
      <c r="H380">
        <v>64.5</v>
      </c>
      <c r="I380" t="s">
        <v>1495</v>
      </c>
      <c r="J380" t="s">
        <v>39</v>
      </c>
      <c r="K380" t="s">
        <v>96</v>
      </c>
      <c r="L380" t="s">
        <v>1496</v>
      </c>
      <c r="M380">
        <v>8</v>
      </c>
      <c r="N380" t="s">
        <v>88</v>
      </c>
      <c r="O380" t="s">
        <v>26</v>
      </c>
      <c r="P380">
        <v>322.5</v>
      </c>
      <c r="Q380">
        <v>322.5</v>
      </c>
      <c r="R380" t="str">
        <f>IF(OR(P380&lt;Outliers!$B$5, P380&gt;Outliers!$B$6), "outliers", "")</f>
        <v/>
      </c>
    </row>
    <row r="381" spans="1:18" x14ac:dyDescent="0.25">
      <c r="A381" t="s">
        <v>1497</v>
      </c>
      <c r="B381" s="1">
        <v>45556</v>
      </c>
      <c r="C381">
        <v>2024</v>
      </c>
      <c r="D381" t="s">
        <v>28</v>
      </c>
      <c r="E381" t="s">
        <v>1498</v>
      </c>
      <c r="F381" t="s">
        <v>30</v>
      </c>
      <c r="G381">
        <v>3</v>
      </c>
      <c r="H381">
        <v>297.67</v>
      </c>
      <c r="I381" t="s">
        <v>746</v>
      </c>
      <c r="J381" t="s">
        <v>32</v>
      </c>
      <c r="K381" t="s">
        <v>23</v>
      </c>
      <c r="L381" t="s">
        <v>1499</v>
      </c>
      <c r="M381">
        <v>6</v>
      </c>
      <c r="O381" t="s">
        <v>83</v>
      </c>
      <c r="P381">
        <v>893.01</v>
      </c>
      <c r="Q381">
        <v>893.01</v>
      </c>
      <c r="R381" t="str">
        <f>IF(OR(P381&lt;Outliers!$B$5, P381&gt;Outliers!$B$6), "outliers", "")</f>
        <v/>
      </c>
    </row>
    <row r="382" spans="1:18" x14ac:dyDescent="0.25">
      <c r="A382" t="s">
        <v>1500</v>
      </c>
      <c r="B382" s="1">
        <v>45402</v>
      </c>
      <c r="C382">
        <v>2024</v>
      </c>
      <c r="D382" t="s">
        <v>53</v>
      </c>
      <c r="E382" t="s">
        <v>1501</v>
      </c>
      <c r="F382" t="s">
        <v>55</v>
      </c>
      <c r="G382">
        <v>4</v>
      </c>
      <c r="H382">
        <v>331.9</v>
      </c>
      <c r="I382" t="s">
        <v>1088</v>
      </c>
      <c r="J382" t="s">
        <v>72</v>
      </c>
      <c r="K382" t="s">
        <v>96</v>
      </c>
      <c r="L382" t="s">
        <v>1502</v>
      </c>
      <c r="M382">
        <v>5</v>
      </c>
      <c r="N382" t="s">
        <v>25</v>
      </c>
      <c r="O382" t="s">
        <v>26</v>
      </c>
      <c r="P382">
        <v>1327.6</v>
      </c>
      <c r="Q382">
        <v>1327.6</v>
      </c>
      <c r="R382" t="str">
        <f>IF(OR(P382&lt;Outliers!$B$5, P382&gt;Outliers!$B$6), "outliers", "")</f>
        <v/>
      </c>
    </row>
    <row r="383" spans="1:18" x14ac:dyDescent="0.25">
      <c r="A383" t="s">
        <v>1503</v>
      </c>
      <c r="B383" s="1">
        <v>45084</v>
      </c>
      <c r="C383">
        <v>2023</v>
      </c>
      <c r="D383" t="s">
        <v>53</v>
      </c>
      <c r="E383" t="s">
        <v>1504</v>
      </c>
      <c r="F383" t="s">
        <v>47</v>
      </c>
      <c r="G383">
        <v>1</v>
      </c>
      <c r="H383">
        <v>191.76</v>
      </c>
      <c r="I383" t="s">
        <v>230</v>
      </c>
      <c r="J383" t="s">
        <v>39</v>
      </c>
      <c r="K383" t="s">
        <v>49</v>
      </c>
      <c r="L383" t="s">
        <v>1505</v>
      </c>
      <c r="M383">
        <v>1</v>
      </c>
      <c r="N383" t="s">
        <v>42</v>
      </c>
      <c r="O383" t="s">
        <v>26</v>
      </c>
      <c r="P383">
        <v>191.76</v>
      </c>
      <c r="Q383">
        <v>191.76</v>
      </c>
      <c r="R383" t="str">
        <f>IF(OR(P383&lt;Outliers!$B$5, P383&gt;Outliers!$B$6), "outliers", "")</f>
        <v/>
      </c>
    </row>
    <row r="384" spans="1:18" x14ac:dyDescent="0.25">
      <c r="A384" t="s">
        <v>1506</v>
      </c>
      <c r="B384" s="1">
        <v>45687</v>
      </c>
      <c r="C384">
        <v>2025</v>
      </c>
      <c r="D384" t="s">
        <v>18</v>
      </c>
      <c r="E384" t="s">
        <v>1507</v>
      </c>
      <c r="F384" t="s">
        <v>55</v>
      </c>
      <c r="G384">
        <v>4</v>
      </c>
      <c r="H384">
        <v>263.08999999999997</v>
      </c>
      <c r="I384" t="s">
        <v>1508</v>
      </c>
      <c r="J384" t="s">
        <v>22</v>
      </c>
      <c r="K384" t="s">
        <v>23</v>
      </c>
      <c r="L384" t="s">
        <v>1509</v>
      </c>
      <c r="M384">
        <v>8</v>
      </c>
      <c r="N384" t="s">
        <v>25</v>
      </c>
      <c r="O384" t="s">
        <v>83</v>
      </c>
      <c r="P384">
        <v>1052.3599999999999</v>
      </c>
      <c r="Q384">
        <v>1052.3599999999999</v>
      </c>
      <c r="R384" t="str">
        <f>IF(OR(P384&lt;Outliers!$B$5, P384&gt;Outliers!$B$6), "outliers", "")</f>
        <v/>
      </c>
    </row>
    <row r="385" spans="1:18" x14ac:dyDescent="0.25">
      <c r="A385" t="s">
        <v>1510</v>
      </c>
      <c r="B385" s="1">
        <v>44946</v>
      </c>
      <c r="C385">
        <v>2023</v>
      </c>
      <c r="D385" t="s">
        <v>18</v>
      </c>
      <c r="E385" t="s">
        <v>1511</v>
      </c>
      <c r="F385" t="s">
        <v>47</v>
      </c>
      <c r="G385">
        <v>4</v>
      </c>
      <c r="H385">
        <v>393.8</v>
      </c>
      <c r="I385" t="s">
        <v>414</v>
      </c>
      <c r="J385" t="s">
        <v>39</v>
      </c>
      <c r="K385" t="s">
        <v>96</v>
      </c>
      <c r="L385" t="s">
        <v>1512</v>
      </c>
      <c r="M385">
        <v>7</v>
      </c>
      <c r="N385" t="s">
        <v>25</v>
      </c>
      <c r="O385" t="s">
        <v>43</v>
      </c>
      <c r="P385">
        <v>1575.2</v>
      </c>
      <c r="Q385">
        <v>1575.2</v>
      </c>
      <c r="R385" t="str">
        <f>IF(OR(P385&lt;Outliers!$B$5, P385&gt;Outliers!$B$6), "outliers", "")</f>
        <v/>
      </c>
    </row>
    <row r="386" spans="1:18" x14ac:dyDescent="0.25">
      <c r="A386" t="s">
        <v>1513</v>
      </c>
      <c r="B386" s="1">
        <v>45620</v>
      </c>
      <c r="C386">
        <v>2024</v>
      </c>
      <c r="D386" t="s">
        <v>45</v>
      </c>
      <c r="E386" t="s">
        <v>1514</v>
      </c>
      <c r="F386" t="s">
        <v>47</v>
      </c>
      <c r="G386">
        <v>3</v>
      </c>
      <c r="H386">
        <v>553.57000000000005</v>
      </c>
      <c r="I386" t="s">
        <v>1515</v>
      </c>
      <c r="J386" t="s">
        <v>39</v>
      </c>
      <c r="K386" t="s">
        <v>49</v>
      </c>
      <c r="L386" t="s">
        <v>1516</v>
      </c>
      <c r="M386">
        <v>4</v>
      </c>
      <c r="N386" t="s">
        <v>42</v>
      </c>
      <c r="O386" t="s">
        <v>51</v>
      </c>
      <c r="P386">
        <v>1660.71</v>
      </c>
      <c r="Q386">
        <v>1660.71</v>
      </c>
      <c r="R386" t="str">
        <f>IF(OR(P386&lt;Outliers!$B$5, P386&gt;Outliers!$B$6), "outliers", "")</f>
        <v/>
      </c>
    </row>
    <row r="387" spans="1:18" x14ac:dyDescent="0.25">
      <c r="A387" t="s">
        <v>1517</v>
      </c>
      <c r="B387" s="1">
        <v>45230</v>
      </c>
      <c r="C387">
        <v>2023</v>
      </c>
      <c r="D387" t="s">
        <v>45</v>
      </c>
      <c r="E387" t="s">
        <v>1518</v>
      </c>
      <c r="F387" t="s">
        <v>47</v>
      </c>
      <c r="G387">
        <v>5</v>
      </c>
      <c r="H387">
        <v>191.63</v>
      </c>
      <c r="I387" t="s">
        <v>300</v>
      </c>
      <c r="J387" t="s">
        <v>67</v>
      </c>
      <c r="K387" t="s">
        <v>57</v>
      </c>
      <c r="L387" t="s">
        <v>1519</v>
      </c>
      <c r="M387">
        <v>6</v>
      </c>
      <c r="N387" t="s">
        <v>42</v>
      </c>
      <c r="O387" t="s">
        <v>51</v>
      </c>
      <c r="P387">
        <v>958.15</v>
      </c>
      <c r="Q387">
        <v>958.15</v>
      </c>
      <c r="R387" t="str">
        <f>IF(OR(P387&lt;Outliers!$B$5, P387&gt;Outliers!$B$6), "outliers", "")</f>
        <v/>
      </c>
    </row>
    <row r="388" spans="1:18" x14ac:dyDescent="0.25">
      <c r="A388" t="s">
        <v>1520</v>
      </c>
      <c r="B388" s="1">
        <v>45044</v>
      </c>
      <c r="C388">
        <v>2023</v>
      </c>
      <c r="D388" t="s">
        <v>53</v>
      </c>
      <c r="E388" t="s">
        <v>1521</v>
      </c>
      <c r="F388" t="s">
        <v>37</v>
      </c>
      <c r="G388">
        <v>1</v>
      </c>
      <c r="H388">
        <v>93.02</v>
      </c>
      <c r="I388" t="s">
        <v>1522</v>
      </c>
      <c r="J388" t="s">
        <v>32</v>
      </c>
      <c r="K388" t="s">
        <v>49</v>
      </c>
      <c r="L388" t="s">
        <v>1523</v>
      </c>
      <c r="M388">
        <v>4</v>
      </c>
      <c r="O388" t="s">
        <v>43</v>
      </c>
      <c r="P388">
        <v>93.02</v>
      </c>
      <c r="Q388">
        <v>93.02</v>
      </c>
      <c r="R388" t="str">
        <f>IF(OR(P388&lt;Outliers!$B$5, P388&gt;Outliers!$B$6), "outliers", "")</f>
        <v/>
      </c>
    </row>
    <row r="389" spans="1:18" x14ac:dyDescent="0.25">
      <c r="A389" t="s">
        <v>1524</v>
      </c>
      <c r="B389" s="1">
        <v>45470</v>
      </c>
      <c r="C389">
        <v>2024</v>
      </c>
      <c r="D389" t="s">
        <v>53</v>
      </c>
      <c r="E389" t="s">
        <v>1525</v>
      </c>
      <c r="F389" t="s">
        <v>55</v>
      </c>
      <c r="G389">
        <v>2</v>
      </c>
      <c r="H389">
        <v>39.53</v>
      </c>
      <c r="I389" t="s">
        <v>76</v>
      </c>
      <c r="J389" t="s">
        <v>39</v>
      </c>
      <c r="K389" t="s">
        <v>23</v>
      </c>
      <c r="L389" t="s">
        <v>1526</v>
      </c>
      <c r="M389">
        <v>3</v>
      </c>
      <c r="N389" t="s">
        <v>88</v>
      </c>
      <c r="O389" t="s">
        <v>83</v>
      </c>
      <c r="P389">
        <v>79.06</v>
      </c>
      <c r="Q389">
        <v>79.06</v>
      </c>
      <c r="R389" t="str">
        <f>IF(OR(P389&lt;Outliers!$B$5, P389&gt;Outliers!$B$6), "outliers", "")</f>
        <v/>
      </c>
    </row>
    <row r="390" spans="1:18" x14ac:dyDescent="0.25">
      <c r="A390" t="s">
        <v>1527</v>
      </c>
      <c r="B390" s="1">
        <v>45288</v>
      </c>
      <c r="C390">
        <v>2023</v>
      </c>
      <c r="D390" t="s">
        <v>45</v>
      </c>
      <c r="E390" t="s">
        <v>1528</v>
      </c>
      <c r="F390" t="s">
        <v>55</v>
      </c>
      <c r="G390">
        <v>3</v>
      </c>
      <c r="H390">
        <v>633.97</v>
      </c>
      <c r="I390" t="s">
        <v>445</v>
      </c>
      <c r="J390" t="s">
        <v>72</v>
      </c>
      <c r="K390" t="s">
        <v>96</v>
      </c>
      <c r="L390" t="s">
        <v>1529</v>
      </c>
      <c r="M390">
        <v>7</v>
      </c>
      <c r="N390" t="s">
        <v>88</v>
      </c>
      <c r="O390" t="s">
        <v>51</v>
      </c>
      <c r="P390">
        <v>1901.91</v>
      </c>
      <c r="Q390">
        <v>1901.91</v>
      </c>
      <c r="R390" t="str">
        <f>IF(OR(P390&lt;Outliers!$B$5, P390&gt;Outliers!$B$6), "outliers", "")</f>
        <v/>
      </c>
    </row>
    <row r="391" spans="1:18" x14ac:dyDescent="0.25">
      <c r="A391" t="s">
        <v>1530</v>
      </c>
      <c r="B391" s="1">
        <v>45277</v>
      </c>
      <c r="C391">
        <v>2023</v>
      </c>
      <c r="D391" t="s">
        <v>45</v>
      </c>
      <c r="E391" t="s">
        <v>1531</v>
      </c>
      <c r="F391" t="s">
        <v>80</v>
      </c>
      <c r="G391">
        <v>4</v>
      </c>
      <c r="H391">
        <v>697.5</v>
      </c>
      <c r="I391" t="s">
        <v>1532</v>
      </c>
      <c r="J391" t="s">
        <v>72</v>
      </c>
      <c r="K391" t="s">
        <v>23</v>
      </c>
      <c r="L391" t="s">
        <v>1533</v>
      </c>
      <c r="M391">
        <v>7</v>
      </c>
      <c r="N391" t="s">
        <v>42</v>
      </c>
      <c r="O391" t="s">
        <v>34</v>
      </c>
      <c r="P391">
        <v>2790</v>
      </c>
      <c r="Q391">
        <v>2790</v>
      </c>
      <c r="R391" t="str">
        <f>IF(OR(P391&lt;Outliers!$B$5, P391&gt;Outliers!$B$6), "outliers", "")</f>
        <v/>
      </c>
    </row>
    <row r="392" spans="1:18" x14ac:dyDescent="0.25">
      <c r="A392" t="s">
        <v>1534</v>
      </c>
      <c r="B392" s="1">
        <v>45121</v>
      </c>
      <c r="C392">
        <v>2023</v>
      </c>
      <c r="D392" t="s">
        <v>28</v>
      </c>
      <c r="E392" t="s">
        <v>1535</v>
      </c>
      <c r="F392" t="s">
        <v>55</v>
      </c>
      <c r="G392">
        <v>5</v>
      </c>
      <c r="H392">
        <v>508.69</v>
      </c>
      <c r="I392" t="s">
        <v>1383</v>
      </c>
      <c r="J392" t="s">
        <v>72</v>
      </c>
      <c r="K392" t="s">
        <v>57</v>
      </c>
      <c r="L392" t="s">
        <v>1536</v>
      </c>
      <c r="M392">
        <v>10</v>
      </c>
      <c r="N392" t="s">
        <v>42</v>
      </c>
      <c r="O392" t="s">
        <v>83</v>
      </c>
      <c r="P392">
        <v>2543.4499999999998</v>
      </c>
      <c r="Q392">
        <v>2543.4499999999998</v>
      </c>
      <c r="R392" t="str">
        <f>IF(OR(P392&lt;Outliers!$B$5, P392&gt;Outliers!$B$6), "outliers", "")</f>
        <v/>
      </c>
    </row>
    <row r="393" spans="1:18" x14ac:dyDescent="0.25">
      <c r="A393" t="s">
        <v>1537</v>
      </c>
      <c r="B393" s="1">
        <v>45673</v>
      </c>
      <c r="C393">
        <v>2025</v>
      </c>
      <c r="D393" t="s">
        <v>18</v>
      </c>
      <c r="E393" t="s">
        <v>1538</v>
      </c>
      <c r="F393" t="s">
        <v>65</v>
      </c>
      <c r="G393">
        <v>2</v>
      </c>
      <c r="H393">
        <v>527.46</v>
      </c>
      <c r="I393" t="s">
        <v>1144</v>
      </c>
      <c r="J393" t="s">
        <v>22</v>
      </c>
      <c r="K393" t="s">
        <v>40</v>
      </c>
      <c r="L393" t="s">
        <v>1539</v>
      </c>
      <c r="M393">
        <v>3</v>
      </c>
      <c r="N393" t="s">
        <v>42</v>
      </c>
      <c r="O393" t="s">
        <v>34</v>
      </c>
      <c r="P393">
        <v>1054.92</v>
      </c>
      <c r="Q393">
        <v>1054.92</v>
      </c>
      <c r="R393" t="str">
        <f>IF(OR(P393&lt;Outliers!$B$5, P393&gt;Outliers!$B$6), "outliers", "")</f>
        <v/>
      </c>
    </row>
    <row r="394" spans="1:18" x14ac:dyDescent="0.25">
      <c r="A394" t="s">
        <v>1540</v>
      </c>
      <c r="B394" s="1">
        <v>45350</v>
      </c>
      <c r="C394">
        <v>2024</v>
      </c>
      <c r="D394" t="s">
        <v>18</v>
      </c>
      <c r="E394" t="s">
        <v>1541</v>
      </c>
      <c r="F394" t="s">
        <v>30</v>
      </c>
      <c r="G394">
        <v>1</v>
      </c>
      <c r="H394">
        <v>627.20000000000005</v>
      </c>
      <c r="I394" t="s">
        <v>1434</v>
      </c>
      <c r="J394" t="s">
        <v>32</v>
      </c>
      <c r="K394" t="s">
        <v>57</v>
      </c>
      <c r="L394" t="s">
        <v>1542</v>
      </c>
      <c r="M394">
        <v>1</v>
      </c>
      <c r="N394" t="s">
        <v>88</v>
      </c>
      <c r="O394" t="s">
        <v>43</v>
      </c>
      <c r="P394">
        <v>627.20000000000005</v>
      </c>
      <c r="Q394">
        <v>627.20000000000005</v>
      </c>
      <c r="R394" t="str">
        <f>IF(OR(P394&lt;Outliers!$B$5, P394&gt;Outliers!$B$6), "outliers", "")</f>
        <v/>
      </c>
    </row>
    <row r="395" spans="1:18" x14ac:dyDescent="0.25">
      <c r="A395" t="s">
        <v>1543</v>
      </c>
      <c r="B395" s="1">
        <v>45487</v>
      </c>
      <c r="C395">
        <v>2024</v>
      </c>
      <c r="D395" t="s">
        <v>28</v>
      </c>
      <c r="E395" t="s">
        <v>1544</v>
      </c>
      <c r="F395" t="s">
        <v>55</v>
      </c>
      <c r="G395">
        <v>1</v>
      </c>
      <c r="H395">
        <v>75.010000000000005</v>
      </c>
      <c r="I395" t="s">
        <v>1545</v>
      </c>
      <c r="J395" t="s">
        <v>39</v>
      </c>
      <c r="K395" t="s">
        <v>49</v>
      </c>
      <c r="L395" t="s">
        <v>1546</v>
      </c>
      <c r="M395">
        <v>3</v>
      </c>
      <c r="O395" t="s">
        <v>83</v>
      </c>
      <c r="P395">
        <v>75.010000000000005</v>
      </c>
      <c r="Q395">
        <v>75.010000000000005</v>
      </c>
      <c r="R395" t="str">
        <f>IF(OR(P395&lt;Outliers!$B$5, P395&gt;Outliers!$B$6), "outliers", "")</f>
        <v/>
      </c>
    </row>
    <row r="396" spans="1:18" x14ac:dyDescent="0.25">
      <c r="A396" t="s">
        <v>1547</v>
      </c>
      <c r="B396" s="1">
        <v>45112</v>
      </c>
      <c r="C396">
        <v>2023</v>
      </c>
      <c r="D396" t="s">
        <v>28</v>
      </c>
      <c r="E396" t="s">
        <v>1548</v>
      </c>
      <c r="F396" t="s">
        <v>80</v>
      </c>
      <c r="G396">
        <v>5</v>
      </c>
      <c r="H396">
        <v>529.54999999999995</v>
      </c>
      <c r="I396" t="s">
        <v>1549</v>
      </c>
      <c r="J396" t="s">
        <v>67</v>
      </c>
      <c r="K396" t="s">
        <v>23</v>
      </c>
      <c r="L396" t="s">
        <v>1550</v>
      </c>
      <c r="M396">
        <v>10</v>
      </c>
      <c r="O396" t="s">
        <v>51</v>
      </c>
      <c r="P396">
        <v>2647.75</v>
      </c>
      <c r="Q396">
        <v>2647.75</v>
      </c>
      <c r="R396" t="str">
        <f>IF(OR(P396&lt;Outliers!$B$5, P396&gt;Outliers!$B$6), "outliers", "")</f>
        <v/>
      </c>
    </row>
    <row r="397" spans="1:18" x14ac:dyDescent="0.25">
      <c r="A397" t="s">
        <v>1551</v>
      </c>
      <c r="B397" s="1">
        <v>45772</v>
      </c>
      <c r="C397">
        <v>2025</v>
      </c>
      <c r="D397" t="s">
        <v>53</v>
      </c>
      <c r="E397" t="s">
        <v>1552</v>
      </c>
      <c r="F397" t="s">
        <v>30</v>
      </c>
      <c r="G397">
        <v>3</v>
      </c>
      <c r="H397">
        <v>127.41</v>
      </c>
      <c r="I397" t="s">
        <v>176</v>
      </c>
      <c r="J397" t="s">
        <v>67</v>
      </c>
      <c r="K397" t="s">
        <v>57</v>
      </c>
      <c r="L397" t="s">
        <v>1553</v>
      </c>
      <c r="M397">
        <v>7</v>
      </c>
      <c r="N397" t="s">
        <v>25</v>
      </c>
      <c r="O397" t="s">
        <v>34</v>
      </c>
      <c r="P397">
        <v>382.23</v>
      </c>
      <c r="Q397">
        <v>382.23</v>
      </c>
      <c r="R397" t="str">
        <f>IF(OR(P397&lt;Outliers!$B$5, P397&gt;Outliers!$B$6), "outliers", "")</f>
        <v/>
      </c>
    </row>
    <row r="398" spans="1:18" x14ac:dyDescent="0.25">
      <c r="A398" t="s">
        <v>1554</v>
      </c>
      <c r="B398" s="1">
        <v>45261</v>
      </c>
      <c r="C398">
        <v>2023</v>
      </c>
      <c r="D398" t="s">
        <v>45</v>
      </c>
      <c r="E398" t="s">
        <v>1555</v>
      </c>
      <c r="F398" t="s">
        <v>37</v>
      </c>
      <c r="G398">
        <v>5</v>
      </c>
      <c r="H398">
        <v>287.13</v>
      </c>
      <c r="I398" t="s">
        <v>1556</v>
      </c>
      <c r="J398" t="s">
        <v>32</v>
      </c>
      <c r="K398" t="s">
        <v>23</v>
      </c>
      <c r="L398" t="s">
        <v>1557</v>
      </c>
      <c r="M398">
        <v>10</v>
      </c>
      <c r="N398" t="s">
        <v>25</v>
      </c>
      <c r="O398" t="s">
        <v>43</v>
      </c>
      <c r="P398">
        <v>1435.65</v>
      </c>
      <c r="Q398">
        <v>1435.65</v>
      </c>
      <c r="R398" t="str">
        <f>IF(OR(P398&lt;Outliers!$B$5, P398&gt;Outliers!$B$6), "outliers", "")</f>
        <v/>
      </c>
    </row>
    <row r="399" spans="1:18" x14ac:dyDescent="0.25">
      <c r="A399" t="s">
        <v>1558</v>
      </c>
      <c r="B399" s="1">
        <v>45197</v>
      </c>
      <c r="C399">
        <v>2023</v>
      </c>
      <c r="D399" t="s">
        <v>28</v>
      </c>
      <c r="E399" t="s">
        <v>1559</v>
      </c>
      <c r="F399" t="s">
        <v>20</v>
      </c>
      <c r="G399">
        <v>1</v>
      </c>
      <c r="H399">
        <v>427.06</v>
      </c>
      <c r="I399" t="s">
        <v>1560</v>
      </c>
      <c r="J399" t="s">
        <v>32</v>
      </c>
      <c r="K399" t="s">
        <v>40</v>
      </c>
      <c r="L399" t="s">
        <v>1561</v>
      </c>
      <c r="M399">
        <v>1</v>
      </c>
      <c r="N399" t="s">
        <v>88</v>
      </c>
      <c r="O399" t="s">
        <v>34</v>
      </c>
      <c r="P399">
        <v>427.06</v>
      </c>
      <c r="Q399">
        <v>427.06</v>
      </c>
      <c r="R399" t="str">
        <f>IF(OR(P399&lt;Outliers!$B$5, P399&gt;Outliers!$B$6), "outliers", "")</f>
        <v/>
      </c>
    </row>
    <row r="400" spans="1:18" x14ac:dyDescent="0.25">
      <c r="A400" t="s">
        <v>1562</v>
      </c>
      <c r="B400" s="1">
        <v>45539</v>
      </c>
      <c r="C400">
        <v>2024</v>
      </c>
      <c r="D400" t="s">
        <v>28</v>
      </c>
      <c r="E400" t="s">
        <v>1563</v>
      </c>
      <c r="F400" t="s">
        <v>30</v>
      </c>
      <c r="G400">
        <v>5</v>
      </c>
      <c r="H400">
        <v>53.93</v>
      </c>
      <c r="I400" t="s">
        <v>848</v>
      </c>
      <c r="J400" t="s">
        <v>67</v>
      </c>
      <c r="K400" t="s">
        <v>23</v>
      </c>
      <c r="L400" t="s">
        <v>1564</v>
      </c>
      <c r="M400">
        <v>7</v>
      </c>
      <c r="N400" t="s">
        <v>25</v>
      </c>
      <c r="O400" t="s">
        <v>26</v>
      </c>
      <c r="P400">
        <v>269.64999999999998</v>
      </c>
      <c r="Q400">
        <v>269.64999999999998</v>
      </c>
      <c r="R400" t="str">
        <f>IF(OR(P400&lt;Outliers!$B$5, P400&gt;Outliers!$B$6), "outliers", "")</f>
        <v/>
      </c>
    </row>
    <row r="401" spans="1:18" x14ac:dyDescent="0.25">
      <c r="A401" t="s">
        <v>1565</v>
      </c>
      <c r="B401" s="1">
        <v>45298</v>
      </c>
      <c r="C401">
        <v>2024</v>
      </c>
      <c r="D401" t="s">
        <v>18</v>
      </c>
      <c r="E401" t="s">
        <v>1566</v>
      </c>
      <c r="F401" t="s">
        <v>37</v>
      </c>
      <c r="G401">
        <v>5</v>
      </c>
      <c r="H401">
        <v>423.93</v>
      </c>
      <c r="I401" t="s">
        <v>1567</v>
      </c>
      <c r="J401" t="s">
        <v>22</v>
      </c>
      <c r="K401" t="s">
        <v>49</v>
      </c>
      <c r="L401" t="s">
        <v>1568</v>
      </c>
      <c r="M401">
        <v>5</v>
      </c>
      <c r="N401" t="s">
        <v>42</v>
      </c>
      <c r="O401" t="s">
        <v>51</v>
      </c>
      <c r="P401">
        <v>2119.65</v>
      </c>
      <c r="Q401">
        <v>2119.65</v>
      </c>
      <c r="R401" t="str">
        <f>IF(OR(P401&lt;Outliers!$B$5, P401&gt;Outliers!$B$6), "outliers", "")</f>
        <v/>
      </c>
    </row>
    <row r="402" spans="1:18" x14ac:dyDescent="0.25">
      <c r="A402" t="s">
        <v>1569</v>
      </c>
      <c r="B402" s="1">
        <v>45563</v>
      </c>
      <c r="C402">
        <v>2024</v>
      </c>
      <c r="D402" t="s">
        <v>28</v>
      </c>
      <c r="E402" t="s">
        <v>1570</v>
      </c>
      <c r="F402" t="s">
        <v>80</v>
      </c>
      <c r="G402">
        <v>4</v>
      </c>
      <c r="H402">
        <v>160.22</v>
      </c>
      <c r="I402" t="s">
        <v>1571</v>
      </c>
      <c r="J402" t="s">
        <v>22</v>
      </c>
      <c r="K402" t="s">
        <v>49</v>
      </c>
      <c r="L402" t="s">
        <v>1572</v>
      </c>
      <c r="M402">
        <v>9</v>
      </c>
      <c r="N402" t="s">
        <v>88</v>
      </c>
      <c r="O402" t="s">
        <v>26</v>
      </c>
      <c r="P402">
        <v>640.88</v>
      </c>
      <c r="Q402">
        <v>640.88</v>
      </c>
      <c r="R402" t="str">
        <f>IF(OR(P402&lt;Outliers!$B$5, P402&gt;Outliers!$B$6), "outliers", "")</f>
        <v/>
      </c>
    </row>
    <row r="403" spans="1:18" x14ac:dyDescent="0.25">
      <c r="A403" t="s">
        <v>1573</v>
      </c>
      <c r="B403" s="1">
        <v>45756</v>
      </c>
      <c r="C403">
        <v>2025</v>
      </c>
      <c r="D403" t="s">
        <v>53</v>
      </c>
      <c r="E403" t="s">
        <v>1574</v>
      </c>
      <c r="F403" t="s">
        <v>55</v>
      </c>
      <c r="G403">
        <v>1</v>
      </c>
      <c r="H403">
        <v>538.67999999999995</v>
      </c>
      <c r="I403" t="s">
        <v>1434</v>
      </c>
      <c r="J403" t="s">
        <v>22</v>
      </c>
      <c r="K403" t="s">
        <v>49</v>
      </c>
      <c r="L403" t="s">
        <v>1575</v>
      </c>
      <c r="M403">
        <v>6</v>
      </c>
      <c r="O403" t="s">
        <v>34</v>
      </c>
      <c r="P403">
        <v>538.67999999999995</v>
      </c>
      <c r="Q403">
        <v>538.67999999999995</v>
      </c>
      <c r="R403" t="str">
        <f>IF(OR(P403&lt;Outliers!$B$5, P403&gt;Outliers!$B$6), "outliers", "")</f>
        <v/>
      </c>
    </row>
    <row r="404" spans="1:18" x14ac:dyDescent="0.25">
      <c r="A404" t="s">
        <v>1576</v>
      </c>
      <c r="B404" s="1">
        <v>45025</v>
      </c>
      <c r="C404">
        <v>2023</v>
      </c>
      <c r="D404" t="s">
        <v>53</v>
      </c>
      <c r="E404" t="s">
        <v>1577</v>
      </c>
      <c r="F404" t="s">
        <v>55</v>
      </c>
      <c r="G404">
        <v>5</v>
      </c>
      <c r="H404">
        <v>337.38</v>
      </c>
      <c r="I404" t="s">
        <v>1578</v>
      </c>
      <c r="J404" t="s">
        <v>67</v>
      </c>
      <c r="K404" t="s">
        <v>23</v>
      </c>
      <c r="L404" t="s">
        <v>1579</v>
      </c>
      <c r="M404">
        <v>5</v>
      </c>
      <c r="O404" t="s">
        <v>34</v>
      </c>
      <c r="P404">
        <v>1686.9</v>
      </c>
      <c r="Q404">
        <v>1686.9</v>
      </c>
      <c r="R404" t="str">
        <f>IF(OR(P404&lt;Outliers!$B$5, P404&gt;Outliers!$B$6), "outliers", "")</f>
        <v/>
      </c>
    </row>
    <row r="405" spans="1:18" x14ac:dyDescent="0.25">
      <c r="A405" t="s">
        <v>1580</v>
      </c>
      <c r="B405" s="1">
        <v>45606</v>
      </c>
      <c r="C405">
        <v>2024</v>
      </c>
      <c r="D405" t="s">
        <v>45</v>
      </c>
      <c r="E405" t="s">
        <v>1581</v>
      </c>
      <c r="F405" t="s">
        <v>37</v>
      </c>
      <c r="G405">
        <v>1</v>
      </c>
      <c r="H405">
        <v>620.21</v>
      </c>
      <c r="I405" t="s">
        <v>1128</v>
      </c>
      <c r="J405" t="s">
        <v>32</v>
      </c>
      <c r="K405" t="s">
        <v>49</v>
      </c>
      <c r="L405" t="s">
        <v>1582</v>
      </c>
      <c r="M405">
        <v>1</v>
      </c>
      <c r="N405" t="s">
        <v>42</v>
      </c>
      <c r="O405" t="s">
        <v>34</v>
      </c>
      <c r="P405">
        <v>620.21</v>
      </c>
      <c r="Q405">
        <v>620.21</v>
      </c>
      <c r="R405" t="str">
        <f>IF(OR(P405&lt;Outliers!$B$5, P405&gt;Outliers!$B$6), "outliers", "")</f>
        <v/>
      </c>
    </row>
    <row r="406" spans="1:18" x14ac:dyDescent="0.25">
      <c r="A406" t="s">
        <v>1583</v>
      </c>
      <c r="B406" s="1">
        <v>44994</v>
      </c>
      <c r="C406">
        <v>2023</v>
      </c>
      <c r="D406" t="s">
        <v>18</v>
      </c>
      <c r="E406" t="s">
        <v>1584</v>
      </c>
      <c r="F406" t="s">
        <v>20</v>
      </c>
      <c r="G406">
        <v>2</v>
      </c>
      <c r="H406">
        <v>99.1</v>
      </c>
      <c r="I406" t="s">
        <v>312</v>
      </c>
      <c r="J406" t="s">
        <v>72</v>
      </c>
      <c r="K406" t="s">
        <v>57</v>
      </c>
      <c r="L406" t="s">
        <v>1585</v>
      </c>
      <c r="M406">
        <v>6</v>
      </c>
      <c r="O406" t="s">
        <v>26</v>
      </c>
      <c r="P406">
        <v>198.2</v>
      </c>
      <c r="Q406">
        <v>198.2</v>
      </c>
      <c r="R406" t="str">
        <f>IF(OR(P406&lt;Outliers!$B$5, P406&gt;Outliers!$B$6), "outliers", "")</f>
        <v/>
      </c>
    </row>
    <row r="407" spans="1:18" x14ac:dyDescent="0.25">
      <c r="A407" t="s">
        <v>1586</v>
      </c>
      <c r="B407" s="1">
        <v>45683</v>
      </c>
      <c r="C407">
        <v>2025</v>
      </c>
      <c r="D407" t="s">
        <v>18</v>
      </c>
      <c r="E407" t="s">
        <v>1587</v>
      </c>
      <c r="F407" t="s">
        <v>20</v>
      </c>
      <c r="G407">
        <v>4</v>
      </c>
      <c r="H407">
        <v>451.97</v>
      </c>
      <c r="I407" t="s">
        <v>1451</v>
      </c>
      <c r="J407" t="s">
        <v>32</v>
      </c>
      <c r="K407" t="s">
        <v>40</v>
      </c>
      <c r="L407" t="s">
        <v>1588</v>
      </c>
      <c r="M407">
        <v>7</v>
      </c>
      <c r="N407" t="s">
        <v>88</v>
      </c>
      <c r="O407" t="s">
        <v>43</v>
      </c>
      <c r="P407">
        <v>1807.88</v>
      </c>
      <c r="Q407">
        <v>1807.88</v>
      </c>
      <c r="R407" t="str">
        <f>IF(OR(P407&lt;Outliers!$B$5, P407&gt;Outliers!$B$6), "outliers", "")</f>
        <v/>
      </c>
    </row>
    <row r="408" spans="1:18" x14ac:dyDescent="0.25">
      <c r="A408" t="s">
        <v>1589</v>
      </c>
      <c r="B408" s="1">
        <v>45270</v>
      </c>
      <c r="C408">
        <v>2023</v>
      </c>
      <c r="D408" t="s">
        <v>45</v>
      </c>
      <c r="E408" t="s">
        <v>1590</v>
      </c>
      <c r="F408" t="s">
        <v>37</v>
      </c>
      <c r="G408">
        <v>4</v>
      </c>
      <c r="H408">
        <v>66.099999999999994</v>
      </c>
      <c r="I408" t="s">
        <v>770</v>
      </c>
      <c r="J408" t="s">
        <v>72</v>
      </c>
      <c r="K408" t="s">
        <v>49</v>
      </c>
      <c r="L408" t="s">
        <v>1591</v>
      </c>
      <c r="M408">
        <v>9</v>
      </c>
      <c r="N408" t="s">
        <v>88</v>
      </c>
      <c r="O408" t="s">
        <v>83</v>
      </c>
      <c r="P408">
        <v>264.39999999999998</v>
      </c>
      <c r="Q408">
        <v>264.39999999999998</v>
      </c>
      <c r="R408" t="str">
        <f>IF(OR(P408&lt;Outliers!$B$5, P408&gt;Outliers!$B$6), "outliers", "")</f>
        <v/>
      </c>
    </row>
    <row r="409" spans="1:18" x14ac:dyDescent="0.25">
      <c r="A409" t="s">
        <v>1592</v>
      </c>
      <c r="B409" s="1">
        <v>45151</v>
      </c>
      <c r="C409">
        <v>2023</v>
      </c>
      <c r="D409" t="s">
        <v>28</v>
      </c>
      <c r="E409" t="s">
        <v>1593</v>
      </c>
      <c r="F409" t="s">
        <v>37</v>
      </c>
      <c r="G409">
        <v>4</v>
      </c>
      <c r="H409">
        <v>547.32000000000005</v>
      </c>
      <c r="I409" t="s">
        <v>1061</v>
      </c>
      <c r="J409" t="s">
        <v>72</v>
      </c>
      <c r="K409" t="s">
        <v>49</v>
      </c>
      <c r="L409" t="s">
        <v>1594</v>
      </c>
      <c r="M409">
        <v>8</v>
      </c>
      <c r="N409" t="s">
        <v>42</v>
      </c>
      <c r="O409" t="s">
        <v>26</v>
      </c>
      <c r="P409">
        <v>2189.2800000000002</v>
      </c>
      <c r="Q409">
        <v>2189.2800000000002</v>
      </c>
      <c r="R409" t="str">
        <f>IF(OR(P409&lt;Outliers!$B$5, P409&gt;Outliers!$B$6), "outliers", "")</f>
        <v/>
      </c>
    </row>
    <row r="410" spans="1:18" x14ac:dyDescent="0.25">
      <c r="A410" t="s">
        <v>1595</v>
      </c>
      <c r="B410" s="1">
        <v>45658</v>
      </c>
      <c r="C410">
        <v>2025</v>
      </c>
      <c r="D410" t="s">
        <v>18</v>
      </c>
      <c r="E410" t="s">
        <v>1596</v>
      </c>
      <c r="F410" t="s">
        <v>55</v>
      </c>
      <c r="G410">
        <v>3</v>
      </c>
      <c r="H410">
        <v>412.53</v>
      </c>
      <c r="I410" t="s">
        <v>1597</v>
      </c>
      <c r="J410" t="s">
        <v>32</v>
      </c>
      <c r="K410" t="s">
        <v>96</v>
      </c>
      <c r="L410" t="s">
        <v>1598</v>
      </c>
      <c r="M410">
        <v>6</v>
      </c>
      <c r="N410" t="s">
        <v>88</v>
      </c>
      <c r="O410" t="s">
        <v>83</v>
      </c>
      <c r="P410">
        <v>1237.5899999999999</v>
      </c>
      <c r="Q410">
        <v>1237.5899999999999</v>
      </c>
      <c r="R410" t="str">
        <f>IF(OR(P410&lt;Outliers!$B$5, P410&gt;Outliers!$B$6), "outliers", "")</f>
        <v/>
      </c>
    </row>
    <row r="411" spans="1:18" x14ac:dyDescent="0.25">
      <c r="A411" t="s">
        <v>1599</v>
      </c>
      <c r="B411" s="1">
        <v>45105</v>
      </c>
      <c r="C411">
        <v>2023</v>
      </c>
      <c r="D411" t="s">
        <v>53</v>
      </c>
      <c r="E411" t="s">
        <v>1600</v>
      </c>
      <c r="F411" t="s">
        <v>80</v>
      </c>
      <c r="G411">
        <v>5</v>
      </c>
      <c r="H411">
        <v>84.13</v>
      </c>
      <c r="I411" t="s">
        <v>1601</v>
      </c>
      <c r="J411" t="s">
        <v>32</v>
      </c>
      <c r="K411" t="s">
        <v>57</v>
      </c>
      <c r="L411" t="s">
        <v>1602</v>
      </c>
      <c r="M411">
        <v>9</v>
      </c>
      <c r="N411" t="s">
        <v>25</v>
      </c>
      <c r="O411" t="s">
        <v>83</v>
      </c>
      <c r="P411">
        <v>420.65</v>
      </c>
      <c r="Q411">
        <v>420.65</v>
      </c>
      <c r="R411" t="str">
        <f>IF(OR(P411&lt;Outliers!$B$5, P411&gt;Outliers!$B$6), "outliers", "")</f>
        <v/>
      </c>
    </row>
    <row r="412" spans="1:18" x14ac:dyDescent="0.25">
      <c r="A412" t="s">
        <v>1603</v>
      </c>
      <c r="B412" s="1">
        <v>45309</v>
      </c>
      <c r="C412">
        <v>2024</v>
      </c>
      <c r="D412" t="s">
        <v>18</v>
      </c>
      <c r="E412" t="s">
        <v>1604</v>
      </c>
      <c r="F412" t="s">
        <v>37</v>
      </c>
      <c r="G412">
        <v>2</v>
      </c>
      <c r="H412">
        <v>518.23</v>
      </c>
      <c r="I412" t="s">
        <v>1605</v>
      </c>
      <c r="J412" t="s">
        <v>22</v>
      </c>
      <c r="K412" t="s">
        <v>23</v>
      </c>
      <c r="L412" t="s">
        <v>1606</v>
      </c>
      <c r="M412">
        <v>5</v>
      </c>
      <c r="O412" t="s">
        <v>43</v>
      </c>
      <c r="P412">
        <v>1036.46</v>
      </c>
      <c r="Q412">
        <v>1036.46</v>
      </c>
      <c r="R412" t="str">
        <f>IF(OR(P412&lt;Outliers!$B$5, P412&gt;Outliers!$B$6), "outliers", "")</f>
        <v/>
      </c>
    </row>
    <row r="413" spans="1:18" x14ac:dyDescent="0.25">
      <c r="A413" t="s">
        <v>1607</v>
      </c>
      <c r="B413" s="1">
        <v>45462</v>
      </c>
      <c r="C413">
        <v>2024</v>
      </c>
      <c r="D413" t="s">
        <v>53</v>
      </c>
      <c r="E413" t="s">
        <v>1608</v>
      </c>
      <c r="F413" t="s">
        <v>80</v>
      </c>
      <c r="G413">
        <v>2</v>
      </c>
      <c r="H413">
        <v>39.51</v>
      </c>
      <c r="I413" t="s">
        <v>637</v>
      </c>
      <c r="J413" t="s">
        <v>32</v>
      </c>
      <c r="K413" t="s">
        <v>23</v>
      </c>
      <c r="L413" t="s">
        <v>1609</v>
      </c>
      <c r="M413">
        <v>5</v>
      </c>
      <c r="O413" t="s">
        <v>51</v>
      </c>
      <c r="P413">
        <v>79.02</v>
      </c>
      <c r="Q413">
        <v>79.02</v>
      </c>
      <c r="R413" t="str">
        <f>IF(OR(P413&lt;Outliers!$B$5, P413&gt;Outliers!$B$6), "outliers", "")</f>
        <v/>
      </c>
    </row>
    <row r="414" spans="1:18" x14ac:dyDescent="0.25">
      <c r="A414" t="s">
        <v>1610</v>
      </c>
      <c r="B414" s="1">
        <v>45758</v>
      </c>
      <c r="C414">
        <v>2025</v>
      </c>
      <c r="D414" t="s">
        <v>53</v>
      </c>
      <c r="E414" t="s">
        <v>1611</v>
      </c>
      <c r="F414" t="s">
        <v>37</v>
      </c>
      <c r="G414">
        <v>5</v>
      </c>
      <c r="H414">
        <v>133.01</v>
      </c>
      <c r="I414" t="s">
        <v>1612</v>
      </c>
      <c r="J414" t="s">
        <v>39</v>
      </c>
      <c r="K414" t="s">
        <v>49</v>
      </c>
      <c r="L414" t="s">
        <v>1613</v>
      </c>
      <c r="M414">
        <v>10</v>
      </c>
      <c r="O414" t="s">
        <v>51</v>
      </c>
      <c r="P414">
        <v>665.05</v>
      </c>
      <c r="Q414">
        <v>665.05</v>
      </c>
      <c r="R414" t="str">
        <f>IF(OR(P414&lt;Outliers!$B$5, P414&gt;Outliers!$B$6), "outliers", "")</f>
        <v/>
      </c>
    </row>
    <row r="415" spans="1:18" x14ac:dyDescent="0.25">
      <c r="A415" t="s">
        <v>1614</v>
      </c>
      <c r="B415" s="1">
        <v>45207</v>
      </c>
      <c r="C415">
        <v>2023</v>
      </c>
      <c r="D415" t="s">
        <v>45</v>
      </c>
      <c r="E415" t="s">
        <v>1615</v>
      </c>
      <c r="F415" t="s">
        <v>37</v>
      </c>
      <c r="G415">
        <v>1</v>
      </c>
      <c r="H415">
        <v>118.8</v>
      </c>
      <c r="I415" t="s">
        <v>1616</v>
      </c>
      <c r="J415" t="s">
        <v>32</v>
      </c>
      <c r="K415" t="s">
        <v>57</v>
      </c>
      <c r="L415" t="s">
        <v>1617</v>
      </c>
      <c r="M415">
        <v>6</v>
      </c>
      <c r="N415" t="s">
        <v>25</v>
      </c>
      <c r="O415" t="s">
        <v>43</v>
      </c>
      <c r="P415">
        <v>118.8</v>
      </c>
      <c r="Q415">
        <v>118.8</v>
      </c>
      <c r="R415" t="str">
        <f>IF(OR(P415&lt;Outliers!$B$5, P415&gt;Outliers!$B$6), "outliers", "")</f>
        <v/>
      </c>
    </row>
    <row r="416" spans="1:18" x14ac:dyDescent="0.25">
      <c r="A416" t="s">
        <v>1618</v>
      </c>
      <c r="B416" s="1">
        <v>45781</v>
      </c>
      <c r="C416">
        <v>2025</v>
      </c>
      <c r="D416" t="s">
        <v>53</v>
      </c>
      <c r="E416" t="s">
        <v>1619</v>
      </c>
      <c r="F416" t="s">
        <v>80</v>
      </c>
      <c r="G416">
        <v>2</v>
      </c>
      <c r="H416">
        <v>139.57</v>
      </c>
      <c r="I416" t="s">
        <v>1620</v>
      </c>
      <c r="J416" t="s">
        <v>72</v>
      </c>
      <c r="K416" t="s">
        <v>57</v>
      </c>
      <c r="L416" t="s">
        <v>1621</v>
      </c>
      <c r="M416">
        <v>4</v>
      </c>
      <c r="N416" t="s">
        <v>88</v>
      </c>
      <c r="O416" t="s">
        <v>51</v>
      </c>
      <c r="P416">
        <v>279.14</v>
      </c>
      <c r="Q416">
        <v>279.14</v>
      </c>
      <c r="R416" t="str">
        <f>IF(OR(P416&lt;Outliers!$B$5, P416&gt;Outliers!$B$6), "outliers", "")</f>
        <v/>
      </c>
    </row>
    <row r="417" spans="1:18" x14ac:dyDescent="0.25">
      <c r="A417" t="s">
        <v>1622</v>
      </c>
      <c r="B417" s="1">
        <v>45753</v>
      </c>
      <c r="C417">
        <v>2025</v>
      </c>
      <c r="D417" t="s">
        <v>53</v>
      </c>
      <c r="E417" t="s">
        <v>1623</v>
      </c>
      <c r="F417" t="s">
        <v>47</v>
      </c>
      <c r="G417">
        <v>1</v>
      </c>
      <c r="H417">
        <v>184.15</v>
      </c>
      <c r="I417" t="s">
        <v>1081</v>
      </c>
      <c r="J417" t="s">
        <v>67</v>
      </c>
      <c r="K417" t="s">
        <v>23</v>
      </c>
      <c r="L417" t="s">
        <v>1624</v>
      </c>
      <c r="M417">
        <v>5</v>
      </c>
      <c r="N417" t="s">
        <v>42</v>
      </c>
      <c r="O417" t="s">
        <v>51</v>
      </c>
      <c r="P417">
        <v>184.15</v>
      </c>
      <c r="Q417">
        <v>184.15</v>
      </c>
      <c r="R417" t="str">
        <f>IF(OR(P417&lt;Outliers!$B$5, P417&gt;Outliers!$B$6), "outliers", "")</f>
        <v/>
      </c>
    </row>
    <row r="418" spans="1:18" x14ac:dyDescent="0.25">
      <c r="A418" t="s">
        <v>1625</v>
      </c>
      <c r="B418" s="1">
        <v>45125</v>
      </c>
      <c r="C418">
        <v>2023</v>
      </c>
      <c r="D418" t="s">
        <v>28</v>
      </c>
      <c r="E418" t="s">
        <v>1626</v>
      </c>
      <c r="F418" t="s">
        <v>65</v>
      </c>
      <c r="G418">
        <v>2</v>
      </c>
      <c r="H418">
        <v>644.04999999999995</v>
      </c>
      <c r="I418" t="s">
        <v>1627</v>
      </c>
      <c r="J418" t="s">
        <v>67</v>
      </c>
      <c r="K418" t="s">
        <v>40</v>
      </c>
      <c r="L418" t="s">
        <v>1628</v>
      </c>
      <c r="M418">
        <v>5</v>
      </c>
      <c r="N418" t="s">
        <v>88</v>
      </c>
      <c r="O418" t="s">
        <v>34</v>
      </c>
      <c r="P418">
        <v>1288.0999999999999</v>
      </c>
      <c r="Q418">
        <v>1288.0999999999999</v>
      </c>
      <c r="R418" t="str">
        <f>IF(OR(P418&lt;Outliers!$B$5, P418&gt;Outliers!$B$6), "outliers", "")</f>
        <v/>
      </c>
    </row>
    <row r="419" spans="1:18" x14ac:dyDescent="0.25">
      <c r="A419" t="s">
        <v>1629</v>
      </c>
      <c r="B419" s="1">
        <v>45223</v>
      </c>
      <c r="C419">
        <v>2023</v>
      </c>
      <c r="D419" t="s">
        <v>45</v>
      </c>
      <c r="E419" t="s">
        <v>1630</v>
      </c>
      <c r="F419" t="s">
        <v>65</v>
      </c>
      <c r="G419">
        <v>5</v>
      </c>
      <c r="H419">
        <v>55.41</v>
      </c>
      <c r="I419" t="s">
        <v>1631</v>
      </c>
      <c r="J419" t="s">
        <v>32</v>
      </c>
      <c r="K419" t="s">
        <v>40</v>
      </c>
      <c r="L419" t="s">
        <v>1632</v>
      </c>
      <c r="M419">
        <v>5</v>
      </c>
      <c r="O419" t="s">
        <v>83</v>
      </c>
      <c r="P419">
        <v>277.05</v>
      </c>
      <c r="Q419">
        <v>277.05</v>
      </c>
      <c r="R419" t="str">
        <f>IF(OR(P419&lt;Outliers!$B$5, P419&gt;Outliers!$B$6), "outliers", "")</f>
        <v/>
      </c>
    </row>
    <row r="420" spans="1:18" x14ac:dyDescent="0.25">
      <c r="A420" t="s">
        <v>1633</v>
      </c>
      <c r="B420" s="1">
        <v>44937</v>
      </c>
      <c r="C420">
        <v>2023</v>
      </c>
      <c r="D420" t="s">
        <v>18</v>
      </c>
      <c r="E420" t="s">
        <v>1634</v>
      </c>
      <c r="F420" t="s">
        <v>55</v>
      </c>
      <c r="G420">
        <v>1</v>
      </c>
      <c r="H420">
        <v>310.93</v>
      </c>
      <c r="I420" t="s">
        <v>1635</v>
      </c>
      <c r="J420" t="s">
        <v>32</v>
      </c>
      <c r="K420" t="s">
        <v>40</v>
      </c>
      <c r="L420" t="s">
        <v>1636</v>
      </c>
      <c r="M420">
        <v>3</v>
      </c>
      <c r="O420" t="s">
        <v>51</v>
      </c>
      <c r="P420">
        <v>310.93</v>
      </c>
      <c r="Q420">
        <v>310.93</v>
      </c>
      <c r="R420" t="str">
        <f>IF(OR(P420&lt;Outliers!$B$5, P420&gt;Outliers!$B$6), "outliers", "")</f>
        <v/>
      </c>
    </row>
    <row r="421" spans="1:18" x14ac:dyDescent="0.25">
      <c r="A421" t="s">
        <v>1637</v>
      </c>
      <c r="B421" s="1">
        <v>45399</v>
      </c>
      <c r="C421">
        <v>2024</v>
      </c>
      <c r="D421" t="s">
        <v>53</v>
      </c>
      <c r="E421" t="s">
        <v>1638</v>
      </c>
      <c r="F421" t="s">
        <v>37</v>
      </c>
      <c r="G421">
        <v>2</v>
      </c>
      <c r="H421">
        <v>216.66</v>
      </c>
      <c r="I421" t="s">
        <v>1383</v>
      </c>
      <c r="J421" t="s">
        <v>22</v>
      </c>
      <c r="K421" t="s">
        <v>96</v>
      </c>
      <c r="L421" t="s">
        <v>1639</v>
      </c>
      <c r="M421">
        <v>6</v>
      </c>
      <c r="N421" t="s">
        <v>42</v>
      </c>
      <c r="O421" t="s">
        <v>26</v>
      </c>
      <c r="P421">
        <v>433.32</v>
      </c>
      <c r="Q421">
        <v>433.32</v>
      </c>
      <c r="R421" t="str">
        <f>IF(OR(P421&lt;Outliers!$B$5, P421&gt;Outliers!$B$6), "outliers", "")</f>
        <v/>
      </c>
    </row>
    <row r="422" spans="1:18" x14ac:dyDescent="0.25">
      <c r="A422" t="s">
        <v>1640</v>
      </c>
      <c r="B422" s="1">
        <v>45625</v>
      </c>
      <c r="C422">
        <v>2024</v>
      </c>
      <c r="D422" t="s">
        <v>45</v>
      </c>
      <c r="E422" t="s">
        <v>1641</v>
      </c>
      <c r="F422" t="s">
        <v>30</v>
      </c>
      <c r="G422">
        <v>1</v>
      </c>
      <c r="H422">
        <v>452.7</v>
      </c>
      <c r="I422" t="s">
        <v>1642</v>
      </c>
      <c r="J422" t="s">
        <v>22</v>
      </c>
      <c r="K422" t="s">
        <v>23</v>
      </c>
      <c r="L422" t="s">
        <v>1643</v>
      </c>
      <c r="M422">
        <v>5</v>
      </c>
      <c r="N422" t="s">
        <v>42</v>
      </c>
      <c r="O422" t="s">
        <v>26</v>
      </c>
      <c r="P422">
        <v>452.7</v>
      </c>
      <c r="Q422">
        <v>452.7</v>
      </c>
      <c r="R422" t="str">
        <f>IF(OR(P422&lt;Outliers!$B$5, P422&gt;Outliers!$B$6), "outliers", "")</f>
        <v/>
      </c>
    </row>
    <row r="423" spans="1:18" x14ac:dyDescent="0.25">
      <c r="A423" t="s">
        <v>1644</v>
      </c>
      <c r="B423" s="1">
        <v>45214</v>
      </c>
      <c r="C423">
        <v>2023</v>
      </c>
      <c r="D423" t="s">
        <v>45</v>
      </c>
      <c r="E423" t="s">
        <v>1645</v>
      </c>
      <c r="F423" t="s">
        <v>47</v>
      </c>
      <c r="G423">
        <v>2</v>
      </c>
      <c r="H423">
        <v>288.20999999999998</v>
      </c>
      <c r="I423" t="s">
        <v>1646</v>
      </c>
      <c r="J423" t="s">
        <v>22</v>
      </c>
      <c r="K423" t="s">
        <v>40</v>
      </c>
      <c r="L423" t="s">
        <v>1647</v>
      </c>
      <c r="M423">
        <v>5</v>
      </c>
      <c r="O423" t="s">
        <v>43</v>
      </c>
      <c r="P423">
        <v>576.41999999999996</v>
      </c>
      <c r="Q423">
        <v>576.41999999999996</v>
      </c>
      <c r="R423" t="str">
        <f>IF(OR(P423&lt;Outliers!$B$5, P423&gt;Outliers!$B$6), "outliers", "")</f>
        <v/>
      </c>
    </row>
    <row r="424" spans="1:18" x14ac:dyDescent="0.25">
      <c r="A424" t="s">
        <v>1648</v>
      </c>
      <c r="B424" s="1">
        <v>45082</v>
      </c>
      <c r="C424">
        <v>2023</v>
      </c>
      <c r="D424" t="s">
        <v>53</v>
      </c>
      <c r="E424" t="s">
        <v>1649</v>
      </c>
      <c r="F424" t="s">
        <v>30</v>
      </c>
      <c r="G424">
        <v>4</v>
      </c>
      <c r="H424">
        <v>206.6</v>
      </c>
      <c r="I424" t="s">
        <v>112</v>
      </c>
      <c r="J424" t="s">
        <v>67</v>
      </c>
      <c r="K424" t="s">
        <v>49</v>
      </c>
      <c r="L424" t="s">
        <v>1650</v>
      </c>
      <c r="M424">
        <v>6</v>
      </c>
      <c r="N424" t="s">
        <v>88</v>
      </c>
      <c r="O424" t="s">
        <v>34</v>
      </c>
      <c r="P424">
        <v>826.4</v>
      </c>
      <c r="Q424">
        <v>826.4</v>
      </c>
      <c r="R424" t="str">
        <f>IF(OR(P424&lt;Outliers!$B$5, P424&gt;Outliers!$B$6), "outliers", "")</f>
        <v/>
      </c>
    </row>
    <row r="425" spans="1:18" x14ac:dyDescent="0.25">
      <c r="A425" t="s">
        <v>1651</v>
      </c>
      <c r="B425" s="1">
        <v>45493</v>
      </c>
      <c r="C425">
        <v>2024</v>
      </c>
      <c r="D425" t="s">
        <v>28</v>
      </c>
      <c r="E425" t="s">
        <v>1652</v>
      </c>
      <c r="F425" t="s">
        <v>55</v>
      </c>
      <c r="G425">
        <v>4</v>
      </c>
      <c r="H425">
        <v>685.2</v>
      </c>
      <c r="I425" t="s">
        <v>1132</v>
      </c>
      <c r="J425" t="s">
        <v>67</v>
      </c>
      <c r="K425" t="s">
        <v>40</v>
      </c>
      <c r="L425" t="s">
        <v>1653</v>
      </c>
      <c r="M425">
        <v>6</v>
      </c>
      <c r="N425" t="s">
        <v>88</v>
      </c>
      <c r="O425" t="s">
        <v>83</v>
      </c>
      <c r="P425">
        <v>2740.8</v>
      </c>
      <c r="Q425">
        <v>2740.8</v>
      </c>
      <c r="R425" t="str">
        <f>IF(OR(P425&lt;Outliers!$B$5, P425&gt;Outliers!$B$6), "outliers", "")</f>
        <v/>
      </c>
    </row>
    <row r="426" spans="1:18" x14ac:dyDescent="0.25">
      <c r="A426" t="s">
        <v>1654</v>
      </c>
      <c r="B426" s="1">
        <v>45028</v>
      </c>
      <c r="C426">
        <v>2023</v>
      </c>
      <c r="D426" t="s">
        <v>53</v>
      </c>
      <c r="E426" t="s">
        <v>1655</v>
      </c>
      <c r="F426" t="s">
        <v>47</v>
      </c>
      <c r="G426">
        <v>5</v>
      </c>
      <c r="H426">
        <v>22.94</v>
      </c>
      <c r="I426" t="s">
        <v>1267</v>
      </c>
      <c r="J426" t="s">
        <v>72</v>
      </c>
      <c r="K426" t="s">
        <v>96</v>
      </c>
      <c r="L426" t="s">
        <v>1656</v>
      </c>
      <c r="M426">
        <v>10</v>
      </c>
      <c r="O426" t="s">
        <v>43</v>
      </c>
      <c r="P426">
        <v>114.7</v>
      </c>
      <c r="Q426">
        <v>114.7</v>
      </c>
      <c r="R426" t="str">
        <f>IF(OR(P426&lt;Outliers!$B$5, P426&gt;Outliers!$B$6), "outliers", "")</f>
        <v/>
      </c>
    </row>
    <row r="427" spans="1:18" x14ac:dyDescent="0.25">
      <c r="A427" t="s">
        <v>1657</v>
      </c>
      <c r="B427" s="1">
        <v>44994</v>
      </c>
      <c r="C427">
        <v>2023</v>
      </c>
      <c r="D427" t="s">
        <v>18</v>
      </c>
      <c r="E427" t="s">
        <v>1658</v>
      </c>
      <c r="F427" t="s">
        <v>65</v>
      </c>
      <c r="G427">
        <v>2</v>
      </c>
      <c r="H427">
        <v>301.88</v>
      </c>
      <c r="I427" t="s">
        <v>1659</v>
      </c>
      <c r="J427" t="s">
        <v>67</v>
      </c>
      <c r="K427" t="s">
        <v>49</v>
      </c>
      <c r="L427" t="s">
        <v>1660</v>
      </c>
      <c r="M427">
        <v>5</v>
      </c>
      <c r="N427" t="s">
        <v>88</v>
      </c>
      <c r="O427" t="s">
        <v>43</v>
      </c>
      <c r="P427">
        <v>603.76</v>
      </c>
      <c r="Q427">
        <v>603.76</v>
      </c>
      <c r="R427" t="str">
        <f>IF(OR(P427&lt;Outliers!$B$5, P427&gt;Outliers!$B$6), "outliers", "")</f>
        <v/>
      </c>
    </row>
    <row r="428" spans="1:18" x14ac:dyDescent="0.25">
      <c r="A428" t="s">
        <v>1661</v>
      </c>
      <c r="B428" s="1">
        <v>45732</v>
      </c>
      <c r="C428">
        <v>2025</v>
      </c>
      <c r="D428" t="s">
        <v>18</v>
      </c>
      <c r="E428" t="s">
        <v>1662</v>
      </c>
      <c r="F428" t="s">
        <v>20</v>
      </c>
      <c r="G428">
        <v>5</v>
      </c>
      <c r="H428">
        <v>57.45</v>
      </c>
      <c r="I428" t="s">
        <v>1663</v>
      </c>
      <c r="J428" t="s">
        <v>72</v>
      </c>
      <c r="K428" t="s">
        <v>40</v>
      </c>
      <c r="L428" t="s">
        <v>1664</v>
      </c>
      <c r="M428">
        <v>10</v>
      </c>
      <c r="O428" t="s">
        <v>51</v>
      </c>
      <c r="P428">
        <v>287.25</v>
      </c>
      <c r="Q428">
        <v>287.25</v>
      </c>
      <c r="R428" t="str">
        <f>IF(OR(P428&lt;Outliers!$B$5, P428&gt;Outliers!$B$6), "outliers", "")</f>
        <v/>
      </c>
    </row>
    <row r="429" spans="1:18" x14ac:dyDescent="0.25">
      <c r="A429" t="s">
        <v>1665</v>
      </c>
      <c r="B429" s="1">
        <v>45644</v>
      </c>
      <c r="C429">
        <v>2024</v>
      </c>
      <c r="D429" t="s">
        <v>45</v>
      </c>
      <c r="E429" t="s">
        <v>1666</v>
      </c>
      <c r="F429" t="s">
        <v>80</v>
      </c>
      <c r="G429">
        <v>1</v>
      </c>
      <c r="H429">
        <v>161.24</v>
      </c>
      <c r="I429" t="s">
        <v>1667</v>
      </c>
      <c r="J429" t="s">
        <v>39</v>
      </c>
      <c r="K429" t="s">
        <v>96</v>
      </c>
      <c r="L429" t="s">
        <v>1668</v>
      </c>
      <c r="M429">
        <v>3</v>
      </c>
      <c r="N429" t="s">
        <v>88</v>
      </c>
      <c r="O429" t="s">
        <v>26</v>
      </c>
      <c r="P429">
        <v>161.24</v>
      </c>
      <c r="Q429">
        <v>161.24</v>
      </c>
      <c r="R429" t="str">
        <f>IF(OR(P429&lt;Outliers!$B$5, P429&gt;Outliers!$B$6), "outliers", "")</f>
        <v/>
      </c>
    </row>
    <row r="430" spans="1:18" x14ac:dyDescent="0.25">
      <c r="A430" t="s">
        <v>1669</v>
      </c>
      <c r="B430" s="1">
        <v>45622</v>
      </c>
      <c r="C430">
        <v>2024</v>
      </c>
      <c r="D430" t="s">
        <v>45</v>
      </c>
      <c r="E430" t="s">
        <v>1670</v>
      </c>
      <c r="F430" t="s">
        <v>47</v>
      </c>
      <c r="G430">
        <v>4</v>
      </c>
      <c r="H430">
        <v>262.58</v>
      </c>
      <c r="I430" t="s">
        <v>168</v>
      </c>
      <c r="J430" t="s">
        <v>32</v>
      </c>
      <c r="K430" t="s">
        <v>40</v>
      </c>
      <c r="L430" t="s">
        <v>1671</v>
      </c>
      <c r="M430">
        <v>8</v>
      </c>
      <c r="N430" t="s">
        <v>88</v>
      </c>
      <c r="O430" t="s">
        <v>43</v>
      </c>
      <c r="P430">
        <v>1050.32</v>
      </c>
      <c r="Q430">
        <v>1050.32</v>
      </c>
      <c r="R430" t="str">
        <f>IF(OR(P430&lt;Outliers!$B$5, P430&gt;Outliers!$B$6), "outliers", "")</f>
        <v/>
      </c>
    </row>
    <row r="431" spans="1:18" x14ac:dyDescent="0.25">
      <c r="A431" t="s">
        <v>1672</v>
      </c>
      <c r="B431" s="1">
        <v>45645</v>
      </c>
      <c r="C431">
        <v>2024</v>
      </c>
      <c r="D431" t="s">
        <v>45</v>
      </c>
      <c r="E431" t="s">
        <v>1673</v>
      </c>
      <c r="F431" t="s">
        <v>55</v>
      </c>
      <c r="G431">
        <v>4</v>
      </c>
      <c r="H431">
        <v>515.19000000000005</v>
      </c>
      <c r="I431" t="s">
        <v>473</v>
      </c>
      <c r="J431" t="s">
        <v>39</v>
      </c>
      <c r="K431" t="s">
        <v>96</v>
      </c>
      <c r="L431" t="s">
        <v>1674</v>
      </c>
      <c r="M431">
        <v>9</v>
      </c>
      <c r="N431" t="s">
        <v>25</v>
      </c>
      <c r="O431" t="s">
        <v>51</v>
      </c>
      <c r="P431">
        <v>2060.7600000000002</v>
      </c>
      <c r="Q431">
        <v>2060.7600000000002</v>
      </c>
      <c r="R431" t="str">
        <f>IF(OR(P431&lt;Outliers!$B$5, P431&gt;Outliers!$B$6), "outliers", "")</f>
        <v/>
      </c>
    </row>
    <row r="432" spans="1:18" x14ac:dyDescent="0.25">
      <c r="A432" t="s">
        <v>1675</v>
      </c>
      <c r="B432" s="1">
        <v>45084</v>
      </c>
      <c r="C432">
        <v>2023</v>
      </c>
      <c r="D432" t="s">
        <v>53</v>
      </c>
      <c r="E432" t="s">
        <v>1676</v>
      </c>
      <c r="F432" t="s">
        <v>30</v>
      </c>
      <c r="G432">
        <v>1</v>
      </c>
      <c r="H432">
        <v>450.07</v>
      </c>
      <c r="I432" t="s">
        <v>1677</v>
      </c>
      <c r="J432" t="s">
        <v>67</v>
      </c>
      <c r="K432" t="s">
        <v>23</v>
      </c>
      <c r="L432" t="s">
        <v>1678</v>
      </c>
      <c r="M432">
        <v>6</v>
      </c>
      <c r="N432" t="s">
        <v>42</v>
      </c>
      <c r="O432" t="s">
        <v>83</v>
      </c>
      <c r="P432">
        <v>450.07</v>
      </c>
      <c r="Q432">
        <v>450.07</v>
      </c>
      <c r="R432" t="str">
        <f>IF(OR(P432&lt;Outliers!$B$5, P432&gt;Outliers!$B$6), "outliers", "")</f>
        <v/>
      </c>
    </row>
    <row r="433" spans="1:18" x14ac:dyDescent="0.25">
      <c r="A433" t="s">
        <v>1679</v>
      </c>
      <c r="B433" s="1">
        <v>45571</v>
      </c>
      <c r="C433">
        <v>2024</v>
      </c>
      <c r="D433" t="s">
        <v>45</v>
      </c>
      <c r="E433" t="s">
        <v>1680</v>
      </c>
      <c r="F433" t="s">
        <v>55</v>
      </c>
      <c r="G433">
        <v>1</v>
      </c>
      <c r="H433">
        <v>52.54</v>
      </c>
      <c r="I433" t="s">
        <v>659</v>
      </c>
      <c r="J433" t="s">
        <v>22</v>
      </c>
      <c r="K433" t="s">
        <v>40</v>
      </c>
      <c r="L433" t="s">
        <v>1681</v>
      </c>
      <c r="M433">
        <v>6</v>
      </c>
      <c r="N433" t="s">
        <v>88</v>
      </c>
      <c r="O433" t="s">
        <v>51</v>
      </c>
      <c r="P433">
        <v>52.54</v>
      </c>
      <c r="Q433">
        <v>52.54</v>
      </c>
      <c r="R433" t="str">
        <f>IF(OR(P433&lt;Outliers!$B$5, P433&gt;Outliers!$B$6), "outliers", "")</f>
        <v/>
      </c>
    </row>
    <row r="434" spans="1:18" x14ac:dyDescent="0.25">
      <c r="A434" t="s">
        <v>1682</v>
      </c>
      <c r="B434" s="1">
        <v>45173</v>
      </c>
      <c r="C434">
        <v>2023</v>
      </c>
      <c r="D434" t="s">
        <v>28</v>
      </c>
      <c r="E434" t="s">
        <v>1683</v>
      </c>
      <c r="F434" t="s">
        <v>37</v>
      </c>
      <c r="G434">
        <v>2</v>
      </c>
      <c r="H434">
        <v>424.32</v>
      </c>
      <c r="I434" t="s">
        <v>1684</v>
      </c>
      <c r="J434" t="s">
        <v>39</v>
      </c>
      <c r="K434" t="s">
        <v>49</v>
      </c>
      <c r="L434" t="s">
        <v>1685</v>
      </c>
      <c r="M434">
        <v>6</v>
      </c>
      <c r="O434" t="s">
        <v>34</v>
      </c>
      <c r="P434">
        <v>848.64</v>
      </c>
      <c r="Q434">
        <v>848.64</v>
      </c>
      <c r="R434" t="str">
        <f>IF(OR(P434&lt;Outliers!$B$5, P434&gt;Outliers!$B$6), "outliers", "")</f>
        <v/>
      </c>
    </row>
    <row r="435" spans="1:18" x14ac:dyDescent="0.25">
      <c r="A435" t="s">
        <v>1686</v>
      </c>
      <c r="B435" s="1">
        <v>45164</v>
      </c>
      <c r="C435">
        <v>2023</v>
      </c>
      <c r="D435" t="s">
        <v>28</v>
      </c>
      <c r="E435" t="s">
        <v>1687</v>
      </c>
      <c r="F435" t="s">
        <v>20</v>
      </c>
      <c r="G435">
        <v>3</v>
      </c>
      <c r="H435">
        <v>631.64</v>
      </c>
      <c r="I435" t="s">
        <v>1003</v>
      </c>
      <c r="J435" t="s">
        <v>39</v>
      </c>
      <c r="K435" t="s">
        <v>49</v>
      </c>
      <c r="L435" t="s">
        <v>1688</v>
      </c>
      <c r="M435">
        <v>3</v>
      </c>
      <c r="N435" t="s">
        <v>42</v>
      </c>
      <c r="O435" t="s">
        <v>51</v>
      </c>
      <c r="P435">
        <v>1894.92</v>
      </c>
      <c r="Q435">
        <v>1894.92</v>
      </c>
      <c r="R435" t="str">
        <f>IF(OR(P435&lt;Outliers!$B$5, P435&gt;Outliers!$B$6), "outliers", "")</f>
        <v/>
      </c>
    </row>
    <row r="436" spans="1:18" x14ac:dyDescent="0.25">
      <c r="A436" t="s">
        <v>1689</v>
      </c>
      <c r="B436" s="1">
        <v>45221</v>
      </c>
      <c r="C436">
        <v>2023</v>
      </c>
      <c r="D436" t="s">
        <v>45</v>
      </c>
      <c r="E436" t="s">
        <v>1690</v>
      </c>
      <c r="F436" t="s">
        <v>55</v>
      </c>
      <c r="G436">
        <v>5</v>
      </c>
      <c r="H436">
        <v>327.68</v>
      </c>
      <c r="I436" t="s">
        <v>323</v>
      </c>
      <c r="J436" t="s">
        <v>39</v>
      </c>
      <c r="K436" t="s">
        <v>49</v>
      </c>
      <c r="L436" t="s">
        <v>1691</v>
      </c>
      <c r="M436">
        <v>6</v>
      </c>
      <c r="O436" t="s">
        <v>51</v>
      </c>
      <c r="P436">
        <v>1638.4</v>
      </c>
      <c r="Q436">
        <v>1638.4</v>
      </c>
      <c r="R436" t="str">
        <f>IF(OR(P436&lt;Outliers!$B$5, P436&gt;Outliers!$B$6), "outliers", "")</f>
        <v/>
      </c>
    </row>
    <row r="437" spans="1:18" x14ac:dyDescent="0.25">
      <c r="A437" t="s">
        <v>1692</v>
      </c>
      <c r="B437" s="1">
        <v>45073</v>
      </c>
      <c r="C437">
        <v>2023</v>
      </c>
      <c r="D437" t="s">
        <v>53</v>
      </c>
      <c r="E437" t="s">
        <v>1693</v>
      </c>
      <c r="F437" t="s">
        <v>55</v>
      </c>
      <c r="G437">
        <v>1</v>
      </c>
      <c r="H437">
        <v>414.47</v>
      </c>
      <c r="I437" t="s">
        <v>1263</v>
      </c>
      <c r="J437" t="s">
        <v>22</v>
      </c>
      <c r="K437" t="s">
        <v>49</v>
      </c>
      <c r="L437" t="s">
        <v>1694</v>
      </c>
      <c r="M437">
        <v>3</v>
      </c>
      <c r="N437" t="s">
        <v>42</v>
      </c>
      <c r="O437" t="s">
        <v>26</v>
      </c>
      <c r="P437">
        <v>414.47</v>
      </c>
      <c r="Q437">
        <v>414.47</v>
      </c>
      <c r="R437" t="str">
        <f>IF(OR(P437&lt;Outliers!$B$5, P437&gt;Outliers!$B$6), "outliers", "")</f>
        <v/>
      </c>
    </row>
    <row r="438" spans="1:18" x14ac:dyDescent="0.25">
      <c r="A438" t="s">
        <v>1695</v>
      </c>
      <c r="B438" s="1">
        <v>44968</v>
      </c>
      <c r="C438">
        <v>2023</v>
      </c>
      <c r="D438" t="s">
        <v>18</v>
      </c>
      <c r="E438" t="s">
        <v>1696</v>
      </c>
      <c r="F438" t="s">
        <v>65</v>
      </c>
      <c r="G438">
        <v>4</v>
      </c>
      <c r="H438">
        <v>221.33</v>
      </c>
      <c r="I438" t="s">
        <v>659</v>
      </c>
      <c r="J438" t="s">
        <v>32</v>
      </c>
      <c r="K438" t="s">
        <v>96</v>
      </c>
      <c r="L438" t="s">
        <v>1697</v>
      </c>
      <c r="M438">
        <v>5</v>
      </c>
      <c r="O438" t="s">
        <v>83</v>
      </c>
      <c r="P438">
        <v>885.32</v>
      </c>
      <c r="Q438">
        <v>885.32</v>
      </c>
      <c r="R438" t="str">
        <f>IF(OR(P438&lt;Outliers!$B$5, P438&gt;Outliers!$B$6), "outliers", "")</f>
        <v/>
      </c>
    </row>
    <row r="439" spans="1:18" x14ac:dyDescent="0.25">
      <c r="A439" t="s">
        <v>1698</v>
      </c>
      <c r="B439" s="1">
        <v>45400</v>
      </c>
      <c r="C439">
        <v>2024</v>
      </c>
      <c r="D439" t="s">
        <v>53</v>
      </c>
      <c r="E439" t="s">
        <v>1699</v>
      </c>
      <c r="F439" t="s">
        <v>30</v>
      </c>
      <c r="G439">
        <v>1</v>
      </c>
      <c r="H439">
        <v>512.39</v>
      </c>
      <c r="I439" t="s">
        <v>1700</v>
      </c>
      <c r="J439" t="s">
        <v>32</v>
      </c>
      <c r="K439" t="s">
        <v>57</v>
      </c>
      <c r="L439" t="s">
        <v>1701</v>
      </c>
      <c r="M439">
        <v>2</v>
      </c>
      <c r="N439" t="s">
        <v>42</v>
      </c>
      <c r="O439" t="s">
        <v>26</v>
      </c>
      <c r="P439">
        <v>512.39</v>
      </c>
      <c r="Q439">
        <v>512.39</v>
      </c>
      <c r="R439" t="str">
        <f>IF(OR(P439&lt;Outliers!$B$5, P439&gt;Outliers!$B$6), "outliers", "")</f>
        <v/>
      </c>
    </row>
    <row r="440" spans="1:18" x14ac:dyDescent="0.25">
      <c r="A440" t="s">
        <v>1702</v>
      </c>
      <c r="B440" s="1">
        <v>45660</v>
      </c>
      <c r="C440">
        <v>2025</v>
      </c>
      <c r="D440" t="s">
        <v>18</v>
      </c>
      <c r="E440" t="s">
        <v>1703</v>
      </c>
      <c r="F440" t="s">
        <v>37</v>
      </c>
      <c r="G440">
        <v>3</v>
      </c>
      <c r="H440">
        <v>459.34</v>
      </c>
      <c r="I440" t="s">
        <v>1704</v>
      </c>
      <c r="J440" t="s">
        <v>67</v>
      </c>
      <c r="K440" t="s">
        <v>96</v>
      </c>
      <c r="L440" t="s">
        <v>1705</v>
      </c>
      <c r="M440">
        <v>3</v>
      </c>
      <c r="N440" t="s">
        <v>25</v>
      </c>
      <c r="O440" t="s">
        <v>26</v>
      </c>
      <c r="P440">
        <v>1378.02</v>
      </c>
      <c r="Q440">
        <v>1378.02</v>
      </c>
      <c r="R440" t="str">
        <f>IF(OR(P440&lt;Outliers!$B$5, P440&gt;Outliers!$B$6), "outliers", "")</f>
        <v/>
      </c>
    </row>
    <row r="441" spans="1:18" x14ac:dyDescent="0.25">
      <c r="A441" t="s">
        <v>1706</v>
      </c>
      <c r="B441" s="1">
        <v>45543</v>
      </c>
      <c r="C441">
        <v>2024</v>
      </c>
      <c r="D441" t="s">
        <v>28</v>
      </c>
      <c r="E441" t="s">
        <v>1707</v>
      </c>
      <c r="F441" t="s">
        <v>37</v>
      </c>
      <c r="G441">
        <v>1</v>
      </c>
      <c r="H441">
        <v>146.32</v>
      </c>
      <c r="I441" t="s">
        <v>1708</v>
      </c>
      <c r="J441" t="s">
        <v>32</v>
      </c>
      <c r="K441" t="s">
        <v>23</v>
      </c>
      <c r="L441" t="s">
        <v>1709</v>
      </c>
      <c r="M441">
        <v>4</v>
      </c>
      <c r="N441" t="s">
        <v>88</v>
      </c>
      <c r="O441" t="s">
        <v>51</v>
      </c>
      <c r="P441">
        <v>146.32</v>
      </c>
      <c r="Q441">
        <v>146.32</v>
      </c>
      <c r="R441" t="str">
        <f>IF(OR(P441&lt;Outliers!$B$5, P441&gt;Outliers!$B$6), "outliers", "")</f>
        <v/>
      </c>
    </row>
    <row r="442" spans="1:18" x14ac:dyDescent="0.25">
      <c r="A442" t="s">
        <v>1710</v>
      </c>
      <c r="B442" s="1">
        <v>45601</v>
      </c>
      <c r="C442">
        <v>2024</v>
      </c>
      <c r="D442" t="s">
        <v>45</v>
      </c>
      <c r="E442" t="s">
        <v>1711</v>
      </c>
      <c r="F442" t="s">
        <v>80</v>
      </c>
      <c r="G442">
        <v>4</v>
      </c>
      <c r="H442">
        <v>83.6</v>
      </c>
      <c r="I442" t="s">
        <v>1251</v>
      </c>
      <c r="J442" t="s">
        <v>22</v>
      </c>
      <c r="K442" t="s">
        <v>96</v>
      </c>
      <c r="L442" t="s">
        <v>1712</v>
      </c>
      <c r="M442">
        <v>4</v>
      </c>
      <c r="N442" t="s">
        <v>25</v>
      </c>
      <c r="O442" t="s">
        <v>51</v>
      </c>
      <c r="P442">
        <v>334.4</v>
      </c>
      <c r="Q442">
        <v>334.4</v>
      </c>
      <c r="R442" t="str">
        <f>IF(OR(P442&lt;Outliers!$B$5, P442&gt;Outliers!$B$6), "outliers", "")</f>
        <v/>
      </c>
    </row>
    <row r="443" spans="1:18" x14ac:dyDescent="0.25">
      <c r="A443" t="s">
        <v>1713</v>
      </c>
      <c r="B443" s="1">
        <v>45273</v>
      </c>
      <c r="C443">
        <v>2023</v>
      </c>
      <c r="D443" t="s">
        <v>45</v>
      </c>
      <c r="E443" t="s">
        <v>1714</v>
      </c>
      <c r="F443" t="s">
        <v>55</v>
      </c>
      <c r="G443">
        <v>2</v>
      </c>
      <c r="H443">
        <v>328.54</v>
      </c>
      <c r="I443" t="s">
        <v>1715</v>
      </c>
      <c r="J443" t="s">
        <v>67</v>
      </c>
      <c r="K443" t="s">
        <v>49</v>
      </c>
      <c r="L443" t="s">
        <v>1716</v>
      </c>
      <c r="M443">
        <v>6</v>
      </c>
      <c r="N443" t="s">
        <v>42</v>
      </c>
      <c r="O443" t="s">
        <v>43</v>
      </c>
      <c r="P443">
        <v>657.08</v>
      </c>
      <c r="Q443">
        <v>657.08</v>
      </c>
      <c r="R443" t="str">
        <f>IF(OR(P443&lt;Outliers!$B$5, P443&gt;Outliers!$B$6), "outliers", "")</f>
        <v/>
      </c>
    </row>
    <row r="444" spans="1:18" x14ac:dyDescent="0.25">
      <c r="A444" t="s">
        <v>1717</v>
      </c>
      <c r="B444" s="1">
        <v>45418</v>
      </c>
      <c r="C444">
        <v>2024</v>
      </c>
      <c r="D444" t="s">
        <v>53</v>
      </c>
      <c r="E444" t="s">
        <v>1718</v>
      </c>
      <c r="F444" t="s">
        <v>47</v>
      </c>
      <c r="G444">
        <v>5</v>
      </c>
      <c r="H444">
        <v>314.94</v>
      </c>
      <c r="I444" t="s">
        <v>1719</v>
      </c>
      <c r="J444" t="s">
        <v>72</v>
      </c>
      <c r="K444" t="s">
        <v>96</v>
      </c>
      <c r="L444" t="s">
        <v>1720</v>
      </c>
      <c r="M444">
        <v>8</v>
      </c>
      <c r="N444" t="s">
        <v>25</v>
      </c>
      <c r="O444" t="s">
        <v>26</v>
      </c>
      <c r="P444">
        <v>1574.7</v>
      </c>
      <c r="Q444">
        <v>1574.7</v>
      </c>
      <c r="R444" t="str">
        <f>IF(OR(P444&lt;Outliers!$B$5, P444&gt;Outliers!$B$6), "outliers", "")</f>
        <v/>
      </c>
    </row>
    <row r="445" spans="1:18" x14ac:dyDescent="0.25">
      <c r="A445" t="s">
        <v>1721</v>
      </c>
      <c r="B445" s="1">
        <v>45426</v>
      </c>
      <c r="C445">
        <v>2024</v>
      </c>
      <c r="D445" t="s">
        <v>53</v>
      </c>
      <c r="E445" t="s">
        <v>1722</v>
      </c>
      <c r="F445" t="s">
        <v>47</v>
      </c>
      <c r="G445">
        <v>2</v>
      </c>
      <c r="H445">
        <v>69.64</v>
      </c>
      <c r="I445" t="s">
        <v>296</v>
      </c>
      <c r="J445" t="s">
        <v>72</v>
      </c>
      <c r="K445" t="s">
        <v>49</v>
      </c>
      <c r="L445" t="s">
        <v>1723</v>
      </c>
      <c r="M445">
        <v>6</v>
      </c>
      <c r="O445" t="s">
        <v>51</v>
      </c>
      <c r="P445">
        <v>139.28</v>
      </c>
      <c r="Q445">
        <v>139.28</v>
      </c>
      <c r="R445" t="str">
        <f>IF(OR(P445&lt;Outliers!$B$5, P445&gt;Outliers!$B$6), "outliers", "")</f>
        <v/>
      </c>
    </row>
    <row r="446" spans="1:18" x14ac:dyDescent="0.25">
      <c r="A446" t="s">
        <v>1724</v>
      </c>
      <c r="B446" s="1">
        <v>45451</v>
      </c>
      <c r="C446">
        <v>2024</v>
      </c>
      <c r="D446" t="s">
        <v>53</v>
      </c>
      <c r="E446" t="s">
        <v>1725</v>
      </c>
      <c r="F446" t="s">
        <v>55</v>
      </c>
      <c r="G446">
        <v>1</v>
      </c>
      <c r="H446">
        <v>135.16999999999999</v>
      </c>
      <c r="I446" t="s">
        <v>1726</v>
      </c>
      <c r="J446" t="s">
        <v>32</v>
      </c>
      <c r="K446" t="s">
        <v>23</v>
      </c>
      <c r="L446" t="s">
        <v>1727</v>
      </c>
      <c r="M446">
        <v>6</v>
      </c>
      <c r="N446" t="s">
        <v>42</v>
      </c>
      <c r="O446" t="s">
        <v>26</v>
      </c>
      <c r="P446">
        <v>135.16999999999999</v>
      </c>
      <c r="Q446">
        <v>135.16999999999999</v>
      </c>
      <c r="R446" t="str">
        <f>IF(OR(P446&lt;Outliers!$B$5, P446&gt;Outliers!$B$6), "outliers", "")</f>
        <v/>
      </c>
    </row>
    <row r="447" spans="1:18" x14ac:dyDescent="0.25">
      <c r="A447" t="s">
        <v>1728</v>
      </c>
      <c r="B447" s="1">
        <v>45374</v>
      </c>
      <c r="C447">
        <v>2024</v>
      </c>
      <c r="D447" t="s">
        <v>18</v>
      </c>
      <c r="E447" t="s">
        <v>1729</v>
      </c>
      <c r="F447" t="s">
        <v>30</v>
      </c>
      <c r="G447">
        <v>1</v>
      </c>
      <c r="H447">
        <v>487.21</v>
      </c>
      <c r="I447" t="s">
        <v>1730</v>
      </c>
      <c r="J447" t="s">
        <v>72</v>
      </c>
      <c r="K447" t="s">
        <v>57</v>
      </c>
      <c r="L447" t="s">
        <v>1731</v>
      </c>
      <c r="M447">
        <v>3</v>
      </c>
      <c r="N447" t="s">
        <v>25</v>
      </c>
      <c r="O447" t="s">
        <v>34</v>
      </c>
      <c r="P447">
        <v>487.21</v>
      </c>
      <c r="Q447">
        <v>487.21</v>
      </c>
      <c r="R447" t="str">
        <f>IF(OR(P447&lt;Outliers!$B$5, P447&gt;Outliers!$B$6), "outliers", "")</f>
        <v/>
      </c>
    </row>
    <row r="448" spans="1:18" x14ac:dyDescent="0.25">
      <c r="A448" t="s">
        <v>1732</v>
      </c>
      <c r="B448" s="1">
        <v>45217</v>
      </c>
      <c r="C448">
        <v>2023</v>
      </c>
      <c r="D448" t="s">
        <v>45</v>
      </c>
      <c r="E448" t="s">
        <v>1733</v>
      </c>
      <c r="F448" t="s">
        <v>65</v>
      </c>
      <c r="G448">
        <v>5</v>
      </c>
      <c r="H448">
        <v>509.58</v>
      </c>
      <c r="I448" t="s">
        <v>1734</v>
      </c>
      <c r="J448" t="s">
        <v>32</v>
      </c>
      <c r="K448" t="s">
        <v>57</v>
      </c>
      <c r="L448" t="s">
        <v>1735</v>
      </c>
      <c r="M448">
        <v>6</v>
      </c>
      <c r="N448" t="s">
        <v>42</v>
      </c>
      <c r="O448" t="s">
        <v>26</v>
      </c>
      <c r="P448">
        <v>2547.9</v>
      </c>
      <c r="Q448">
        <v>2547.9</v>
      </c>
      <c r="R448" t="str">
        <f>IF(OR(P448&lt;Outliers!$B$5, P448&gt;Outliers!$B$6), "outliers", "")</f>
        <v/>
      </c>
    </row>
    <row r="449" spans="1:18" x14ac:dyDescent="0.25">
      <c r="A449" t="s">
        <v>1736</v>
      </c>
      <c r="B449" s="1">
        <v>45389</v>
      </c>
      <c r="C449">
        <v>2024</v>
      </c>
      <c r="D449" t="s">
        <v>53</v>
      </c>
      <c r="E449" t="s">
        <v>1737</v>
      </c>
      <c r="F449" t="s">
        <v>55</v>
      </c>
      <c r="G449">
        <v>2</v>
      </c>
      <c r="H449">
        <v>416.81</v>
      </c>
      <c r="I449" t="s">
        <v>1738</v>
      </c>
      <c r="J449" t="s">
        <v>72</v>
      </c>
      <c r="K449" t="s">
        <v>49</v>
      </c>
      <c r="L449" t="s">
        <v>1739</v>
      </c>
      <c r="M449">
        <v>2</v>
      </c>
      <c r="O449" t="s">
        <v>51</v>
      </c>
      <c r="P449">
        <v>833.62</v>
      </c>
      <c r="Q449">
        <v>833.62</v>
      </c>
      <c r="R449" t="str">
        <f>IF(OR(P449&lt;Outliers!$B$5, P449&gt;Outliers!$B$6), "outliers", "")</f>
        <v/>
      </c>
    </row>
    <row r="450" spans="1:18" x14ac:dyDescent="0.25">
      <c r="A450" t="s">
        <v>1740</v>
      </c>
      <c r="B450" s="1">
        <v>45173</v>
      </c>
      <c r="C450">
        <v>2023</v>
      </c>
      <c r="D450" t="s">
        <v>28</v>
      </c>
      <c r="E450" t="s">
        <v>1741</v>
      </c>
      <c r="F450" t="s">
        <v>65</v>
      </c>
      <c r="G450">
        <v>2</v>
      </c>
      <c r="H450">
        <v>160</v>
      </c>
      <c r="I450" t="s">
        <v>1742</v>
      </c>
      <c r="J450" t="s">
        <v>72</v>
      </c>
      <c r="K450" t="s">
        <v>96</v>
      </c>
      <c r="L450" t="s">
        <v>1743</v>
      </c>
      <c r="M450">
        <v>4</v>
      </c>
      <c r="N450" t="s">
        <v>25</v>
      </c>
      <c r="O450" t="s">
        <v>26</v>
      </c>
      <c r="P450">
        <v>320</v>
      </c>
      <c r="Q450">
        <v>320</v>
      </c>
      <c r="R450" t="str">
        <f>IF(OR(P450&lt;Outliers!$B$5, P450&gt;Outliers!$B$6), "outliers", "")</f>
        <v/>
      </c>
    </row>
    <row r="451" spans="1:18" x14ac:dyDescent="0.25">
      <c r="A451" t="s">
        <v>1744</v>
      </c>
      <c r="B451" s="1">
        <v>45530</v>
      </c>
      <c r="C451">
        <v>2024</v>
      </c>
      <c r="D451" t="s">
        <v>28</v>
      </c>
      <c r="E451" t="s">
        <v>1745</v>
      </c>
      <c r="F451" t="s">
        <v>37</v>
      </c>
      <c r="G451">
        <v>3</v>
      </c>
      <c r="H451">
        <v>253.05</v>
      </c>
      <c r="I451" t="s">
        <v>1746</v>
      </c>
      <c r="J451" t="s">
        <v>32</v>
      </c>
      <c r="K451" t="s">
        <v>96</v>
      </c>
      <c r="L451" t="s">
        <v>1747</v>
      </c>
      <c r="M451">
        <v>3</v>
      </c>
      <c r="O451" t="s">
        <v>26</v>
      </c>
      <c r="P451">
        <v>759.15</v>
      </c>
      <c r="Q451">
        <v>759.15</v>
      </c>
      <c r="R451" t="str">
        <f>IF(OR(P451&lt;Outliers!$B$5, P451&gt;Outliers!$B$6), "outliers", "")</f>
        <v/>
      </c>
    </row>
    <row r="452" spans="1:18" x14ac:dyDescent="0.25">
      <c r="A452" t="s">
        <v>1748</v>
      </c>
      <c r="B452" s="1">
        <v>45306</v>
      </c>
      <c r="C452">
        <v>2024</v>
      </c>
      <c r="D452" t="s">
        <v>18</v>
      </c>
      <c r="E452" t="s">
        <v>1749</v>
      </c>
      <c r="F452" t="s">
        <v>20</v>
      </c>
      <c r="G452">
        <v>5</v>
      </c>
      <c r="H452">
        <v>615.1</v>
      </c>
      <c r="I452" t="s">
        <v>1750</v>
      </c>
      <c r="J452" t="s">
        <v>67</v>
      </c>
      <c r="K452" t="s">
        <v>49</v>
      </c>
      <c r="L452" t="s">
        <v>1751</v>
      </c>
      <c r="M452">
        <v>10</v>
      </c>
      <c r="N452" t="s">
        <v>88</v>
      </c>
      <c r="O452" t="s">
        <v>26</v>
      </c>
      <c r="P452">
        <v>3075.5</v>
      </c>
      <c r="Q452">
        <v>3075.5</v>
      </c>
      <c r="R452" t="str">
        <f>IF(OR(P452&lt;Outliers!$B$5, P452&gt;Outliers!$B$6), "outliers", "")</f>
        <v/>
      </c>
    </row>
    <row r="453" spans="1:18" x14ac:dyDescent="0.25">
      <c r="A453" t="s">
        <v>1752</v>
      </c>
      <c r="B453" s="1">
        <v>45017</v>
      </c>
      <c r="C453">
        <v>2023</v>
      </c>
      <c r="D453" t="s">
        <v>53</v>
      </c>
      <c r="E453" t="s">
        <v>1753</v>
      </c>
      <c r="F453" t="s">
        <v>20</v>
      </c>
      <c r="G453">
        <v>1</v>
      </c>
      <c r="H453">
        <v>183.18</v>
      </c>
      <c r="I453" t="s">
        <v>457</v>
      </c>
      <c r="J453" t="s">
        <v>22</v>
      </c>
      <c r="K453" t="s">
        <v>40</v>
      </c>
      <c r="L453" t="s">
        <v>1754</v>
      </c>
      <c r="M453">
        <v>6</v>
      </c>
      <c r="N453" t="s">
        <v>25</v>
      </c>
      <c r="O453" t="s">
        <v>43</v>
      </c>
      <c r="P453">
        <v>183.18</v>
      </c>
      <c r="Q453">
        <v>183.18</v>
      </c>
      <c r="R453" t="str">
        <f>IF(OR(P453&lt;Outliers!$B$5, P453&gt;Outliers!$B$6), "outliers", "")</f>
        <v/>
      </c>
    </row>
    <row r="454" spans="1:18" x14ac:dyDescent="0.25">
      <c r="A454" t="s">
        <v>1755</v>
      </c>
      <c r="B454" s="1">
        <v>45130</v>
      </c>
      <c r="C454">
        <v>2023</v>
      </c>
      <c r="D454" t="s">
        <v>28</v>
      </c>
      <c r="E454" t="s">
        <v>1756</v>
      </c>
      <c r="F454" t="s">
        <v>55</v>
      </c>
      <c r="G454">
        <v>1</v>
      </c>
      <c r="H454">
        <v>75.78</v>
      </c>
      <c r="I454" t="s">
        <v>1757</v>
      </c>
      <c r="J454" t="s">
        <v>72</v>
      </c>
      <c r="K454" t="s">
        <v>96</v>
      </c>
      <c r="L454" t="s">
        <v>1758</v>
      </c>
      <c r="M454">
        <v>5</v>
      </c>
      <c r="N454" t="s">
        <v>25</v>
      </c>
      <c r="O454" t="s">
        <v>83</v>
      </c>
      <c r="P454">
        <v>75.78</v>
      </c>
      <c r="Q454">
        <v>75.78</v>
      </c>
      <c r="R454" t="str">
        <f>IF(OR(P454&lt;Outliers!$B$5, P454&gt;Outliers!$B$6), "outliers", "")</f>
        <v/>
      </c>
    </row>
    <row r="455" spans="1:18" x14ac:dyDescent="0.25">
      <c r="A455" t="s">
        <v>1759</v>
      </c>
      <c r="B455" s="1">
        <v>45779</v>
      </c>
      <c r="C455">
        <v>2025</v>
      </c>
      <c r="D455" t="s">
        <v>53</v>
      </c>
      <c r="E455" t="s">
        <v>1760</v>
      </c>
      <c r="F455" t="s">
        <v>37</v>
      </c>
      <c r="G455">
        <v>1</v>
      </c>
      <c r="H455">
        <v>675.57</v>
      </c>
      <c r="I455" t="s">
        <v>1761</v>
      </c>
      <c r="J455" t="s">
        <v>72</v>
      </c>
      <c r="K455" t="s">
        <v>23</v>
      </c>
      <c r="L455" t="s">
        <v>1762</v>
      </c>
      <c r="M455">
        <v>1</v>
      </c>
      <c r="N455" t="s">
        <v>88</v>
      </c>
      <c r="O455" t="s">
        <v>51</v>
      </c>
      <c r="P455">
        <v>675.57</v>
      </c>
      <c r="Q455">
        <v>675.57</v>
      </c>
      <c r="R455" t="str">
        <f>IF(OR(P455&lt;Outliers!$B$5, P455&gt;Outliers!$B$6), "outliers", "")</f>
        <v/>
      </c>
    </row>
    <row r="456" spans="1:18" x14ac:dyDescent="0.25">
      <c r="A456" t="s">
        <v>1763</v>
      </c>
      <c r="B456" s="1">
        <v>45623</v>
      </c>
      <c r="C456">
        <v>2024</v>
      </c>
      <c r="D456" t="s">
        <v>45</v>
      </c>
      <c r="E456" t="s">
        <v>1764</v>
      </c>
      <c r="F456" t="s">
        <v>65</v>
      </c>
      <c r="G456">
        <v>1</v>
      </c>
      <c r="H456">
        <v>109.29</v>
      </c>
      <c r="I456" t="s">
        <v>1765</v>
      </c>
      <c r="J456" t="s">
        <v>22</v>
      </c>
      <c r="K456" t="s">
        <v>40</v>
      </c>
      <c r="L456" t="s">
        <v>1766</v>
      </c>
      <c r="M456">
        <v>5</v>
      </c>
      <c r="N456" t="s">
        <v>42</v>
      </c>
      <c r="O456" t="s">
        <v>83</v>
      </c>
      <c r="P456">
        <v>109.29</v>
      </c>
      <c r="Q456">
        <v>109.29</v>
      </c>
      <c r="R456" t="str">
        <f>IF(OR(P456&lt;Outliers!$B$5, P456&gt;Outliers!$B$6), "outliers", "")</f>
        <v/>
      </c>
    </row>
    <row r="457" spans="1:18" x14ac:dyDescent="0.25">
      <c r="A457" t="s">
        <v>1767</v>
      </c>
      <c r="B457" s="1">
        <v>45377</v>
      </c>
      <c r="C457">
        <v>2024</v>
      </c>
      <c r="D457" t="s">
        <v>18</v>
      </c>
      <c r="E457" t="s">
        <v>1768</v>
      </c>
      <c r="F457" t="s">
        <v>30</v>
      </c>
      <c r="G457">
        <v>1</v>
      </c>
      <c r="H457">
        <v>639.83000000000004</v>
      </c>
      <c r="I457" t="s">
        <v>1769</v>
      </c>
      <c r="J457" t="s">
        <v>22</v>
      </c>
      <c r="K457" t="s">
        <v>96</v>
      </c>
      <c r="L457" t="s">
        <v>1770</v>
      </c>
      <c r="M457">
        <v>2</v>
      </c>
      <c r="N457" t="s">
        <v>25</v>
      </c>
      <c r="O457" t="s">
        <v>34</v>
      </c>
      <c r="P457">
        <v>639.83000000000004</v>
      </c>
      <c r="Q457">
        <v>639.83000000000004</v>
      </c>
      <c r="R457" t="str">
        <f>IF(OR(P457&lt;Outliers!$B$5, P457&gt;Outliers!$B$6), "outliers", "")</f>
        <v/>
      </c>
    </row>
    <row r="458" spans="1:18" x14ac:dyDescent="0.25">
      <c r="A458" t="s">
        <v>1771</v>
      </c>
      <c r="B458" s="1">
        <v>45103</v>
      </c>
      <c r="C458">
        <v>2023</v>
      </c>
      <c r="D458" t="s">
        <v>53</v>
      </c>
      <c r="E458" t="s">
        <v>1772</v>
      </c>
      <c r="F458" t="s">
        <v>80</v>
      </c>
      <c r="G458">
        <v>5</v>
      </c>
      <c r="H458">
        <v>62.81</v>
      </c>
      <c r="I458" t="s">
        <v>1371</v>
      </c>
      <c r="J458" t="s">
        <v>39</v>
      </c>
      <c r="K458" t="s">
        <v>23</v>
      </c>
      <c r="L458" t="s">
        <v>1773</v>
      </c>
      <c r="M458">
        <v>9</v>
      </c>
      <c r="N458" t="s">
        <v>25</v>
      </c>
      <c r="O458" t="s">
        <v>51</v>
      </c>
      <c r="P458">
        <v>314.05</v>
      </c>
      <c r="Q458">
        <v>314.05</v>
      </c>
      <c r="R458" t="str">
        <f>IF(OR(P458&lt;Outliers!$B$5, P458&gt;Outliers!$B$6), "outliers", "")</f>
        <v/>
      </c>
    </row>
    <row r="459" spans="1:18" x14ac:dyDescent="0.25">
      <c r="A459" t="s">
        <v>1774</v>
      </c>
      <c r="B459" s="1">
        <v>45802</v>
      </c>
      <c r="C459">
        <v>2025</v>
      </c>
      <c r="D459" t="s">
        <v>53</v>
      </c>
      <c r="E459" t="s">
        <v>1775</v>
      </c>
      <c r="F459" t="s">
        <v>80</v>
      </c>
      <c r="G459">
        <v>4</v>
      </c>
      <c r="H459">
        <v>615.83000000000004</v>
      </c>
      <c r="I459" t="s">
        <v>1776</v>
      </c>
      <c r="J459" t="s">
        <v>32</v>
      </c>
      <c r="K459" t="s">
        <v>49</v>
      </c>
      <c r="L459" t="s">
        <v>1777</v>
      </c>
      <c r="M459">
        <v>4</v>
      </c>
      <c r="N459" t="s">
        <v>88</v>
      </c>
      <c r="O459" t="s">
        <v>26</v>
      </c>
      <c r="P459">
        <v>2463.3200000000002</v>
      </c>
      <c r="Q459">
        <v>2463.3200000000002</v>
      </c>
      <c r="R459" t="str">
        <f>IF(OR(P459&lt;Outliers!$B$5, P459&gt;Outliers!$B$6), "outliers", "")</f>
        <v/>
      </c>
    </row>
    <row r="460" spans="1:18" x14ac:dyDescent="0.25">
      <c r="A460" t="s">
        <v>1778</v>
      </c>
      <c r="B460" s="1">
        <v>45475</v>
      </c>
      <c r="C460">
        <v>2024</v>
      </c>
      <c r="D460" t="s">
        <v>28</v>
      </c>
      <c r="E460" t="s">
        <v>1779</v>
      </c>
      <c r="F460" t="s">
        <v>20</v>
      </c>
      <c r="G460">
        <v>4</v>
      </c>
      <c r="H460">
        <v>510.58</v>
      </c>
      <c r="I460" t="s">
        <v>406</v>
      </c>
      <c r="J460" t="s">
        <v>39</v>
      </c>
      <c r="K460" t="s">
        <v>49</v>
      </c>
      <c r="L460" t="s">
        <v>1780</v>
      </c>
      <c r="M460">
        <v>7</v>
      </c>
      <c r="N460" t="s">
        <v>88</v>
      </c>
      <c r="O460" t="s">
        <v>43</v>
      </c>
      <c r="P460">
        <v>2042.32</v>
      </c>
      <c r="Q460">
        <v>2042.32</v>
      </c>
      <c r="R460" t="str">
        <f>IF(OR(P460&lt;Outliers!$B$5, P460&gt;Outliers!$B$6), "outliers", "")</f>
        <v/>
      </c>
    </row>
    <row r="461" spans="1:18" x14ac:dyDescent="0.25">
      <c r="A461" t="s">
        <v>1781</v>
      </c>
      <c r="B461" s="1">
        <v>45497</v>
      </c>
      <c r="C461">
        <v>2024</v>
      </c>
      <c r="D461" t="s">
        <v>28</v>
      </c>
      <c r="E461" t="s">
        <v>1782</v>
      </c>
      <c r="F461" t="s">
        <v>80</v>
      </c>
      <c r="G461">
        <v>1</v>
      </c>
      <c r="H461">
        <v>334.39</v>
      </c>
      <c r="I461" t="s">
        <v>1677</v>
      </c>
      <c r="J461" t="s">
        <v>39</v>
      </c>
      <c r="K461" t="s">
        <v>49</v>
      </c>
      <c r="L461" t="s">
        <v>1783</v>
      </c>
      <c r="M461">
        <v>2</v>
      </c>
      <c r="O461" t="s">
        <v>26</v>
      </c>
      <c r="P461">
        <v>334.39</v>
      </c>
      <c r="Q461">
        <v>334.39</v>
      </c>
      <c r="R461" t="str">
        <f>IF(OR(P461&lt;Outliers!$B$5, P461&gt;Outliers!$B$6), "outliers", "")</f>
        <v/>
      </c>
    </row>
    <row r="462" spans="1:18" x14ac:dyDescent="0.25">
      <c r="A462" t="s">
        <v>1784</v>
      </c>
      <c r="B462" s="1">
        <v>45571</v>
      </c>
      <c r="C462">
        <v>2024</v>
      </c>
      <c r="D462" t="s">
        <v>45</v>
      </c>
      <c r="E462" t="s">
        <v>1785</v>
      </c>
      <c r="F462" t="s">
        <v>65</v>
      </c>
      <c r="G462">
        <v>1</v>
      </c>
      <c r="H462">
        <v>144.25</v>
      </c>
      <c r="I462" t="s">
        <v>1786</v>
      </c>
      <c r="J462" t="s">
        <v>72</v>
      </c>
      <c r="K462" t="s">
        <v>49</v>
      </c>
      <c r="L462" t="s">
        <v>1787</v>
      </c>
      <c r="M462">
        <v>2</v>
      </c>
      <c r="N462" t="s">
        <v>88</v>
      </c>
      <c r="O462" t="s">
        <v>34</v>
      </c>
      <c r="P462">
        <v>144.25</v>
      </c>
      <c r="Q462">
        <v>144.25</v>
      </c>
      <c r="R462" t="str">
        <f>IF(OR(P462&lt;Outliers!$B$5, P462&gt;Outliers!$B$6), "outliers", "")</f>
        <v/>
      </c>
    </row>
    <row r="463" spans="1:18" x14ac:dyDescent="0.25">
      <c r="A463" t="s">
        <v>1788</v>
      </c>
      <c r="B463" s="1">
        <v>45451</v>
      </c>
      <c r="C463">
        <v>2024</v>
      </c>
      <c r="D463" t="s">
        <v>53</v>
      </c>
      <c r="E463" t="s">
        <v>1789</v>
      </c>
      <c r="F463" t="s">
        <v>37</v>
      </c>
      <c r="G463">
        <v>1</v>
      </c>
      <c r="H463">
        <v>401.82</v>
      </c>
      <c r="I463" t="s">
        <v>979</v>
      </c>
      <c r="J463" t="s">
        <v>39</v>
      </c>
      <c r="K463" t="s">
        <v>23</v>
      </c>
      <c r="L463" t="s">
        <v>1790</v>
      </c>
      <c r="M463">
        <v>5</v>
      </c>
      <c r="N463" t="s">
        <v>42</v>
      </c>
      <c r="O463" t="s">
        <v>83</v>
      </c>
      <c r="P463">
        <v>401.82</v>
      </c>
      <c r="Q463">
        <v>401.82</v>
      </c>
      <c r="R463" t="str">
        <f>IF(OR(P463&lt;Outliers!$B$5, P463&gt;Outliers!$B$6), "outliers", "")</f>
        <v/>
      </c>
    </row>
    <row r="464" spans="1:18" x14ac:dyDescent="0.25">
      <c r="A464" t="s">
        <v>1791</v>
      </c>
      <c r="B464" s="1">
        <v>45747</v>
      </c>
      <c r="C464">
        <v>2025</v>
      </c>
      <c r="D464" t="s">
        <v>18</v>
      </c>
      <c r="E464" t="s">
        <v>1792</v>
      </c>
      <c r="F464" t="s">
        <v>30</v>
      </c>
      <c r="G464">
        <v>1</v>
      </c>
      <c r="H464">
        <v>252.68</v>
      </c>
      <c r="I464" t="s">
        <v>1793</v>
      </c>
      <c r="J464" t="s">
        <v>32</v>
      </c>
      <c r="K464" t="s">
        <v>40</v>
      </c>
      <c r="L464" t="s">
        <v>1794</v>
      </c>
      <c r="M464">
        <v>1</v>
      </c>
      <c r="O464" t="s">
        <v>34</v>
      </c>
      <c r="P464">
        <v>252.68</v>
      </c>
      <c r="Q464">
        <v>252.68</v>
      </c>
      <c r="R464" t="str">
        <f>IF(OR(P464&lt;Outliers!$B$5, P464&gt;Outliers!$B$6), "outliers", "")</f>
        <v/>
      </c>
    </row>
    <row r="465" spans="1:18" x14ac:dyDescent="0.25">
      <c r="A465" t="s">
        <v>1795</v>
      </c>
      <c r="B465" s="1">
        <v>45072</v>
      </c>
      <c r="C465">
        <v>2023</v>
      </c>
      <c r="D465" t="s">
        <v>53</v>
      </c>
      <c r="E465" t="s">
        <v>1796</v>
      </c>
      <c r="F465" t="s">
        <v>65</v>
      </c>
      <c r="G465">
        <v>5</v>
      </c>
      <c r="H465">
        <v>662.78</v>
      </c>
      <c r="I465" t="s">
        <v>1797</v>
      </c>
      <c r="J465" t="s">
        <v>22</v>
      </c>
      <c r="K465" t="s">
        <v>23</v>
      </c>
      <c r="L465" t="s">
        <v>1798</v>
      </c>
      <c r="M465">
        <v>9</v>
      </c>
      <c r="N465" t="s">
        <v>25</v>
      </c>
      <c r="O465" t="s">
        <v>26</v>
      </c>
      <c r="P465">
        <v>3313.9</v>
      </c>
      <c r="Q465">
        <v>3313.9</v>
      </c>
      <c r="R465" t="str">
        <f>IF(OR(P465&lt;Outliers!$B$5, P465&gt;Outliers!$B$6), "outliers", "")</f>
        <v/>
      </c>
    </row>
    <row r="466" spans="1:18" x14ac:dyDescent="0.25">
      <c r="A466" t="s">
        <v>1799</v>
      </c>
      <c r="B466" s="1">
        <v>44999</v>
      </c>
      <c r="C466">
        <v>2023</v>
      </c>
      <c r="D466" t="s">
        <v>18</v>
      </c>
      <c r="E466" t="s">
        <v>1800</v>
      </c>
      <c r="F466" t="s">
        <v>37</v>
      </c>
      <c r="G466">
        <v>4</v>
      </c>
      <c r="H466">
        <v>434.42</v>
      </c>
      <c r="I466" t="s">
        <v>1801</v>
      </c>
      <c r="J466" t="s">
        <v>32</v>
      </c>
      <c r="K466" t="s">
        <v>40</v>
      </c>
      <c r="L466" t="s">
        <v>1802</v>
      </c>
      <c r="M466">
        <v>6</v>
      </c>
      <c r="N466" t="s">
        <v>42</v>
      </c>
      <c r="O466" t="s">
        <v>83</v>
      </c>
      <c r="P466">
        <v>1737.68</v>
      </c>
      <c r="Q466">
        <v>1737.68</v>
      </c>
      <c r="R466" t="str">
        <f>IF(OR(P466&lt;Outliers!$B$5, P466&gt;Outliers!$B$6), "outliers", "")</f>
        <v/>
      </c>
    </row>
    <row r="467" spans="1:18" x14ac:dyDescent="0.25">
      <c r="A467" t="s">
        <v>1803</v>
      </c>
      <c r="B467" s="1">
        <v>45348</v>
      </c>
      <c r="C467">
        <v>2024</v>
      </c>
      <c r="D467" t="s">
        <v>18</v>
      </c>
      <c r="E467" t="s">
        <v>1804</v>
      </c>
      <c r="F467" t="s">
        <v>55</v>
      </c>
      <c r="G467">
        <v>5</v>
      </c>
      <c r="H467">
        <v>513.49</v>
      </c>
      <c r="I467" t="s">
        <v>1805</v>
      </c>
      <c r="J467" t="s">
        <v>67</v>
      </c>
      <c r="K467" t="s">
        <v>40</v>
      </c>
      <c r="L467" t="s">
        <v>1806</v>
      </c>
      <c r="M467">
        <v>8</v>
      </c>
      <c r="O467" t="s">
        <v>83</v>
      </c>
      <c r="P467">
        <v>2567.4499999999998</v>
      </c>
      <c r="Q467">
        <v>2567.4499999999998</v>
      </c>
      <c r="R467" t="str">
        <f>IF(OR(P467&lt;Outliers!$B$5, P467&gt;Outliers!$B$6), "outliers", "")</f>
        <v/>
      </c>
    </row>
    <row r="468" spans="1:18" x14ac:dyDescent="0.25">
      <c r="A468" t="s">
        <v>1807</v>
      </c>
      <c r="B468" s="1">
        <v>45125</v>
      </c>
      <c r="C468">
        <v>2023</v>
      </c>
      <c r="D468" t="s">
        <v>28</v>
      </c>
      <c r="E468" t="s">
        <v>1808</v>
      </c>
      <c r="F468" t="s">
        <v>30</v>
      </c>
      <c r="G468">
        <v>1</v>
      </c>
      <c r="H468">
        <v>432.47</v>
      </c>
      <c r="I468" t="s">
        <v>168</v>
      </c>
      <c r="J468" t="s">
        <v>72</v>
      </c>
      <c r="K468" t="s">
        <v>57</v>
      </c>
      <c r="L468" t="s">
        <v>1809</v>
      </c>
      <c r="M468">
        <v>4</v>
      </c>
      <c r="N468" t="s">
        <v>42</v>
      </c>
      <c r="O468" t="s">
        <v>34</v>
      </c>
      <c r="P468">
        <v>432.47</v>
      </c>
      <c r="Q468">
        <v>432.47</v>
      </c>
      <c r="R468" t="str">
        <f>IF(OR(P468&lt;Outliers!$B$5, P468&gt;Outliers!$B$6), "outliers", "")</f>
        <v/>
      </c>
    </row>
    <row r="469" spans="1:18" x14ac:dyDescent="0.25">
      <c r="A469" t="s">
        <v>1810</v>
      </c>
      <c r="B469" s="1">
        <v>45534</v>
      </c>
      <c r="C469">
        <v>2024</v>
      </c>
      <c r="D469" t="s">
        <v>28</v>
      </c>
      <c r="E469" t="s">
        <v>1811</v>
      </c>
      <c r="F469" t="s">
        <v>80</v>
      </c>
      <c r="G469">
        <v>1</v>
      </c>
      <c r="H469">
        <v>45.94</v>
      </c>
      <c r="I469" t="s">
        <v>770</v>
      </c>
      <c r="J469" t="s">
        <v>72</v>
      </c>
      <c r="K469" t="s">
        <v>40</v>
      </c>
      <c r="L469" t="s">
        <v>1812</v>
      </c>
      <c r="M469">
        <v>2</v>
      </c>
      <c r="N469" t="s">
        <v>88</v>
      </c>
      <c r="O469" t="s">
        <v>43</v>
      </c>
      <c r="P469">
        <v>45.94</v>
      </c>
      <c r="Q469">
        <v>45.94</v>
      </c>
      <c r="R469" t="str">
        <f>IF(OR(P469&lt;Outliers!$B$5, P469&gt;Outliers!$B$6), "outliers", "")</f>
        <v/>
      </c>
    </row>
    <row r="470" spans="1:18" x14ac:dyDescent="0.25">
      <c r="A470" t="s">
        <v>1813</v>
      </c>
      <c r="B470" s="1">
        <v>45829</v>
      </c>
      <c r="C470">
        <v>2025</v>
      </c>
      <c r="D470" t="s">
        <v>53</v>
      </c>
      <c r="E470" t="s">
        <v>1814</v>
      </c>
      <c r="F470" t="s">
        <v>30</v>
      </c>
      <c r="G470">
        <v>1</v>
      </c>
      <c r="H470">
        <v>418.36</v>
      </c>
      <c r="I470" t="s">
        <v>1815</v>
      </c>
      <c r="J470" t="s">
        <v>39</v>
      </c>
      <c r="K470" t="s">
        <v>57</v>
      </c>
      <c r="L470" t="s">
        <v>1816</v>
      </c>
      <c r="M470">
        <v>5</v>
      </c>
      <c r="N470" t="s">
        <v>42</v>
      </c>
      <c r="O470" t="s">
        <v>43</v>
      </c>
      <c r="P470">
        <v>418.36</v>
      </c>
      <c r="Q470">
        <v>418.36</v>
      </c>
      <c r="R470" t="str">
        <f>IF(OR(P470&lt;Outliers!$B$5, P470&gt;Outliers!$B$6), "outliers", "")</f>
        <v/>
      </c>
    </row>
    <row r="471" spans="1:18" x14ac:dyDescent="0.25">
      <c r="A471" t="s">
        <v>1817</v>
      </c>
      <c r="B471" s="1">
        <v>45256</v>
      </c>
      <c r="C471">
        <v>2023</v>
      </c>
      <c r="D471" t="s">
        <v>45</v>
      </c>
      <c r="E471" t="s">
        <v>1818</v>
      </c>
      <c r="F471" t="s">
        <v>47</v>
      </c>
      <c r="G471">
        <v>5</v>
      </c>
      <c r="H471">
        <v>676.98</v>
      </c>
      <c r="I471" t="s">
        <v>625</v>
      </c>
      <c r="J471" t="s">
        <v>72</v>
      </c>
      <c r="K471" t="s">
        <v>40</v>
      </c>
      <c r="L471" t="s">
        <v>1819</v>
      </c>
      <c r="M471">
        <v>5</v>
      </c>
      <c r="O471" t="s">
        <v>51</v>
      </c>
      <c r="P471">
        <v>3384.9</v>
      </c>
      <c r="Q471">
        <v>3384.9</v>
      </c>
      <c r="R471" t="str">
        <f>IF(OR(P471&lt;Outliers!$B$5, P471&gt;Outliers!$B$6), "outliers", "")</f>
        <v>outliers</v>
      </c>
    </row>
    <row r="472" spans="1:18" x14ac:dyDescent="0.25">
      <c r="A472" t="s">
        <v>1820</v>
      </c>
      <c r="B472" s="1">
        <v>45198</v>
      </c>
      <c r="C472">
        <v>2023</v>
      </c>
      <c r="D472" t="s">
        <v>28</v>
      </c>
      <c r="E472" t="s">
        <v>1821</v>
      </c>
      <c r="F472" t="s">
        <v>37</v>
      </c>
      <c r="G472">
        <v>4</v>
      </c>
      <c r="H472">
        <v>263.62</v>
      </c>
      <c r="I472" t="s">
        <v>1822</v>
      </c>
      <c r="J472" t="s">
        <v>72</v>
      </c>
      <c r="K472" t="s">
        <v>23</v>
      </c>
      <c r="L472" t="s">
        <v>1823</v>
      </c>
      <c r="M472">
        <v>5</v>
      </c>
      <c r="N472" t="s">
        <v>25</v>
      </c>
      <c r="O472" t="s">
        <v>43</v>
      </c>
      <c r="P472">
        <v>1054.48</v>
      </c>
      <c r="Q472">
        <v>1054.48</v>
      </c>
      <c r="R472" t="str">
        <f>IF(OR(P472&lt;Outliers!$B$5, P472&gt;Outliers!$B$6), "outliers", "")</f>
        <v/>
      </c>
    </row>
    <row r="473" spans="1:18" x14ac:dyDescent="0.25">
      <c r="A473" t="s">
        <v>1824</v>
      </c>
      <c r="B473" s="1">
        <v>45766</v>
      </c>
      <c r="C473">
        <v>2025</v>
      </c>
      <c r="D473" t="s">
        <v>53</v>
      </c>
      <c r="E473" t="s">
        <v>1825</v>
      </c>
      <c r="F473" t="s">
        <v>80</v>
      </c>
      <c r="G473">
        <v>5</v>
      </c>
      <c r="H473">
        <v>551.27</v>
      </c>
      <c r="I473" t="s">
        <v>1826</v>
      </c>
      <c r="J473" t="s">
        <v>32</v>
      </c>
      <c r="K473" t="s">
        <v>40</v>
      </c>
      <c r="L473" t="s">
        <v>1827</v>
      </c>
      <c r="M473">
        <v>7</v>
      </c>
      <c r="N473" t="s">
        <v>42</v>
      </c>
      <c r="O473" t="s">
        <v>34</v>
      </c>
      <c r="P473">
        <v>2756.35</v>
      </c>
      <c r="Q473">
        <v>2756.35</v>
      </c>
      <c r="R473" t="str">
        <f>IF(OR(P473&lt;Outliers!$B$5, P473&gt;Outliers!$B$6), "outliers", "")</f>
        <v/>
      </c>
    </row>
    <row r="474" spans="1:18" x14ac:dyDescent="0.25">
      <c r="A474" t="s">
        <v>1828</v>
      </c>
      <c r="B474" s="1">
        <v>44932</v>
      </c>
      <c r="C474">
        <v>2023</v>
      </c>
      <c r="D474" t="s">
        <v>18</v>
      </c>
      <c r="E474" t="s">
        <v>1829</v>
      </c>
      <c r="F474" t="s">
        <v>47</v>
      </c>
      <c r="G474">
        <v>3</v>
      </c>
      <c r="H474">
        <v>508.12</v>
      </c>
      <c r="I474" t="s">
        <v>1830</v>
      </c>
      <c r="J474" t="s">
        <v>39</v>
      </c>
      <c r="K474" t="s">
        <v>40</v>
      </c>
      <c r="L474" t="s">
        <v>1831</v>
      </c>
      <c r="M474">
        <v>8</v>
      </c>
      <c r="N474" t="s">
        <v>42</v>
      </c>
      <c r="O474" t="s">
        <v>34</v>
      </c>
      <c r="P474">
        <v>1524.36</v>
      </c>
      <c r="Q474">
        <v>1524.36</v>
      </c>
      <c r="R474" t="str">
        <f>IF(OR(P474&lt;Outliers!$B$5, P474&gt;Outliers!$B$6), "outliers", "")</f>
        <v/>
      </c>
    </row>
    <row r="475" spans="1:18" x14ac:dyDescent="0.25">
      <c r="A475" t="s">
        <v>1832</v>
      </c>
      <c r="B475" s="1">
        <v>45713</v>
      </c>
      <c r="C475">
        <v>2025</v>
      </c>
      <c r="D475" t="s">
        <v>18</v>
      </c>
      <c r="E475" t="s">
        <v>1833</v>
      </c>
      <c r="F475" t="s">
        <v>47</v>
      </c>
      <c r="G475">
        <v>2</v>
      </c>
      <c r="H475">
        <v>14.93</v>
      </c>
      <c r="I475" t="s">
        <v>1834</v>
      </c>
      <c r="J475" t="s">
        <v>32</v>
      </c>
      <c r="K475" t="s">
        <v>23</v>
      </c>
      <c r="L475" t="s">
        <v>1835</v>
      </c>
      <c r="M475">
        <v>4</v>
      </c>
      <c r="O475" t="s">
        <v>51</v>
      </c>
      <c r="P475">
        <v>29.86</v>
      </c>
      <c r="Q475">
        <v>29.86</v>
      </c>
      <c r="R475" t="str">
        <f>IF(OR(P475&lt;Outliers!$B$5, P475&gt;Outliers!$B$6), "outliers", "")</f>
        <v/>
      </c>
    </row>
    <row r="476" spans="1:18" x14ac:dyDescent="0.25">
      <c r="A476" t="s">
        <v>1836</v>
      </c>
      <c r="B476" s="1">
        <v>45245</v>
      </c>
      <c r="C476">
        <v>2023</v>
      </c>
      <c r="D476" t="s">
        <v>45</v>
      </c>
      <c r="E476" t="s">
        <v>1837</v>
      </c>
      <c r="F476" t="s">
        <v>55</v>
      </c>
      <c r="G476">
        <v>3</v>
      </c>
      <c r="H476">
        <v>229.34</v>
      </c>
      <c r="I476" t="s">
        <v>1347</v>
      </c>
      <c r="J476" t="s">
        <v>39</v>
      </c>
      <c r="K476" t="s">
        <v>23</v>
      </c>
      <c r="L476" t="s">
        <v>1838</v>
      </c>
      <c r="M476">
        <v>6</v>
      </c>
      <c r="N476" t="s">
        <v>25</v>
      </c>
      <c r="O476" t="s">
        <v>34</v>
      </c>
      <c r="P476">
        <v>688.02</v>
      </c>
      <c r="Q476">
        <v>688.02</v>
      </c>
      <c r="R476" t="str">
        <f>IF(OR(P476&lt;Outliers!$B$5, P476&gt;Outliers!$B$6), "outliers", "")</f>
        <v/>
      </c>
    </row>
    <row r="477" spans="1:18" x14ac:dyDescent="0.25">
      <c r="A477" t="s">
        <v>1839</v>
      </c>
      <c r="B477" s="1">
        <v>45766</v>
      </c>
      <c r="C477">
        <v>2025</v>
      </c>
      <c r="D477" t="s">
        <v>53</v>
      </c>
      <c r="E477" t="s">
        <v>1840</v>
      </c>
      <c r="F477" t="s">
        <v>37</v>
      </c>
      <c r="G477">
        <v>2</v>
      </c>
      <c r="H477">
        <v>438.62</v>
      </c>
      <c r="I477" t="s">
        <v>1841</v>
      </c>
      <c r="J477" t="s">
        <v>72</v>
      </c>
      <c r="K477" t="s">
        <v>40</v>
      </c>
      <c r="L477" t="s">
        <v>1842</v>
      </c>
      <c r="M477">
        <v>3</v>
      </c>
      <c r="N477" t="s">
        <v>25</v>
      </c>
      <c r="O477" t="s">
        <v>51</v>
      </c>
      <c r="P477">
        <v>877.24</v>
      </c>
      <c r="Q477">
        <v>877.24</v>
      </c>
      <c r="R477" t="str">
        <f>IF(OR(P477&lt;Outliers!$B$5, P477&gt;Outliers!$B$6), "outliers", "")</f>
        <v/>
      </c>
    </row>
    <row r="478" spans="1:18" x14ac:dyDescent="0.25">
      <c r="A478" t="s">
        <v>1843</v>
      </c>
      <c r="B478" s="1">
        <v>45306</v>
      </c>
      <c r="C478">
        <v>2024</v>
      </c>
      <c r="D478" t="s">
        <v>18</v>
      </c>
      <c r="E478" t="s">
        <v>1844</v>
      </c>
      <c r="F478" t="s">
        <v>30</v>
      </c>
      <c r="G478">
        <v>2</v>
      </c>
      <c r="H478">
        <v>513.59</v>
      </c>
      <c r="I478" t="s">
        <v>1845</v>
      </c>
      <c r="J478" t="s">
        <v>32</v>
      </c>
      <c r="K478" t="s">
        <v>49</v>
      </c>
      <c r="L478" t="s">
        <v>1846</v>
      </c>
      <c r="M478">
        <v>4</v>
      </c>
      <c r="N478" t="s">
        <v>42</v>
      </c>
      <c r="O478" t="s">
        <v>34</v>
      </c>
      <c r="P478">
        <v>1027.18</v>
      </c>
      <c r="Q478">
        <v>1027.18</v>
      </c>
      <c r="R478" t="str">
        <f>IF(OR(P478&lt;Outliers!$B$5, P478&gt;Outliers!$B$6), "outliers", "")</f>
        <v/>
      </c>
    </row>
    <row r="479" spans="1:18" x14ac:dyDescent="0.25">
      <c r="A479" t="s">
        <v>1847</v>
      </c>
      <c r="B479" s="1">
        <v>45721</v>
      </c>
      <c r="C479">
        <v>2025</v>
      </c>
      <c r="D479" t="s">
        <v>18</v>
      </c>
      <c r="E479" t="s">
        <v>1848</v>
      </c>
      <c r="F479" t="s">
        <v>30</v>
      </c>
      <c r="G479">
        <v>2</v>
      </c>
      <c r="H479">
        <v>253.74</v>
      </c>
      <c r="I479" t="s">
        <v>1849</v>
      </c>
      <c r="J479" t="s">
        <v>32</v>
      </c>
      <c r="K479" t="s">
        <v>23</v>
      </c>
      <c r="L479" t="s">
        <v>1850</v>
      </c>
      <c r="M479">
        <v>5</v>
      </c>
      <c r="N479" t="s">
        <v>25</v>
      </c>
      <c r="O479" t="s">
        <v>83</v>
      </c>
      <c r="P479">
        <v>507.48</v>
      </c>
      <c r="Q479">
        <v>507.48</v>
      </c>
      <c r="R479" t="str">
        <f>IF(OR(P479&lt;Outliers!$B$5, P479&gt;Outliers!$B$6), "outliers", "")</f>
        <v/>
      </c>
    </row>
    <row r="480" spans="1:18" x14ac:dyDescent="0.25">
      <c r="A480" t="s">
        <v>1851</v>
      </c>
      <c r="B480" s="1">
        <v>45597</v>
      </c>
      <c r="C480">
        <v>2024</v>
      </c>
      <c r="D480" t="s">
        <v>45</v>
      </c>
      <c r="E480" t="s">
        <v>1852</v>
      </c>
      <c r="F480" t="s">
        <v>37</v>
      </c>
      <c r="G480">
        <v>3</v>
      </c>
      <c r="H480">
        <v>62.77</v>
      </c>
      <c r="I480" t="s">
        <v>112</v>
      </c>
      <c r="J480" t="s">
        <v>67</v>
      </c>
      <c r="K480" t="s">
        <v>23</v>
      </c>
      <c r="L480" t="s">
        <v>1853</v>
      </c>
      <c r="M480">
        <v>6</v>
      </c>
      <c r="N480" t="s">
        <v>42</v>
      </c>
      <c r="O480" t="s">
        <v>34</v>
      </c>
      <c r="P480">
        <v>188.31</v>
      </c>
      <c r="Q480">
        <v>188.31</v>
      </c>
      <c r="R480" t="str">
        <f>IF(OR(P480&lt;Outliers!$B$5, P480&gt;Outliers!$B$6), "outliers", "")</f>
        <v/>
      </c>
    </row>
    <row r="481" spans="1:18" x14ac:dyDescent="0.25">
      <c r="A481" t="s">
        <v>1854</v>
      </c>
      <c r="B481" s="1">
        <v>44975</v>
      </c>
      <c r="C481">
        <v>2023</v>
      </c>
      <c r="D481" t="s">
        <v>18</v>
      </c>
      <c r="E481" t="s">
        <v>1855</v>
      </c>
      <c r="F481" t="s">
        <v>20</v>
      </c>
      <c r="G481">
        <v>4</v>
      </c>
      <c r="H481">
        <v>25.29</v>
      </c>
      <c r="I481" t="s">
        <v>1856</v>
      </c>
      <c r="J481" t="s">
        <v>39</v>
      </c>
      <c r="K481" t="s">
        <v>96</v>
      </c>
      <c r="L481" t="s">
        <v>1857</v>
      </c>
      <c r="M481">
        <v>8</v>
      </c>
      <c r="O481" t="s">
        <v>83</v>
      </c>
      <c r="P481">
        <v>101.16</v>
      </c>
      <c r="Q481">
        <v>101.16</v>
      </c>
      <c r="R481" t="str">
        <f>IF(OR(P481&lt;Outliers!$B$5, P481&gt;Outliers!$B$6), "outliers", "")</f>
        <v/>
      </c>
    </row>
    <row r="482" spans="1:18" x14ac:dyDescent="0.25">
      <c r="A482" t="s">
        <v>1858</v>
      </c>
      <c r="B482" s="1">
        <v>45093</v>
      </c>
      <c r="C482">
        <v>2023</v>
      </c>
      <c r="D482" t="s">
        <v>53</v>
      </c>
      <c r="E482" t="s">
        <v>1859</v>
      </c>
      <c r="F482" t="s">
        <v>47</v>
      </c>
      <c r="G482">
        <v>1</v>
      </c>
      <c r="H482">
        <v>335.1</v>
      </c>
      <c r="I482" t="s">
        <v>465</v>
      </c>
      <c r="J482" t="s">
        <v>22</v>
      </c>
      <c r="K482" t="s">
        <v>96</v>
      </c>
      <c r="L482" t="s">
        <v>1860</v>
      </c>
      <c r="M482">
        <v>6</v>
      </c>
      <c r="N482" t="s">
        <v>42</v>
      </c>
      <c r="O482" t="s">
        <v>34</v>
      </c>
      <c r="P482">
        <v>335.1</v>
      </c>
      <c r="Q482">
        <v>335.1</v>
      </c>
      <c r="R482" t="str">
        <f>IF(OR(P482&lt;Outliers!$B$5, P482&gt;Outliers!$B$6), "outliers", "")</f>
        <v/>
      </c>
    </row>
    <row r="483" spans="1:18" x14ac:dyDescent="0.25">
      <c r="A483" t="s">
        <v>1861</v>
      </c>
      <c r="B483" s="1">
        <v>45039</v>
      </c>
      <c r="C483">
        <v>2023</v>
      </c>
      <c r="D483" t="s">
        <v>53</v>
      </c>
      <c r="E483" t="s">
        <v>1862</v>
      </c>
      <c r="F483" t="s">
        <v>65</v>
      </c>
      <c r="G483">
        <v>4</v>
      </c>
      <c r="H483">
        <v>484.85</v>
      </c>
      <c r="I483" t="s">
        <v>873</v>
      </c>
      <c r="J483" t="s">
        <v>22</v>
      </c>
      <c r="K483" t="s">
        <v>57</v>
      </c>
      <c r="L483" t="s">
        <v>1863</v>
      </c>
      <c r="M483">
        <v>5</v>
      </c>
      <c r="N483" t="s">
        <v>88</v>
      </c>
      <c r="O483" t="s">
        <v>34</v>
      </c>
      <c r="P483">
        <v>1939.4</v>
      </c>
      <c r="Q483">
        <v>1939.4</v>
      </c>
      <c r="R483" t="str">
        <f>IF(OR(P483&lt;Outliers!$B$5, P483&gt;Outliers!$B$6), "outliers", "")</f>
        <v/>
      </c>
    </row>
    <row r="484" spans="1:18" x14ac:dyDescent="0.25">
      <c r="A484" t="s">
        <v>1864</v>
      </c>
      <c r="B484" s="1">
        <v>45718</v>
      </c>
      <c r="C484">
        <v>2025</v>
      </c>
      <c r="D484" t="s">
        <v>18</v>
      </c>
      <c r="E484" t="s">
        <v>1865</v>
      </c>
      <c r="F484" t="s">
        <v>20</v>
      </c>
      <c r="G484">
        <v>3</v>
      </c>
      <c r="H484">
        <v>381.41</v>
      </c>
      <c r="I484" t="s">
        <v>374</v>
      </c>
      <c r="J484" t="s">
        <v>32</v>
      </c>
      <c r="K484" t="s">
        <v>96</v>
      </c>
      <c r="L484" t="s">
        <v>1866</v>
      </c>
      <c r="M484">
        <v>6</v>
      </c>
      <c r="O484" t="s">
        <v>26</v>
      </c>
      <c r="P484">
        <v>1144.23</v>
      </c>
      <c r="Q484">
        <v>1144.23</v>
      </c>
      <c r="R484" t="str">
        <f>IF(OR(P484&lt;Outliers!$B$5, P484&gt;Outliers!$B$6), "outliers", "")</f>
        <v/>
      </c>
    </row>
    <row r="485" spans="1:18" x14ac:dyDescent="0.25">
      <c r="A485" t="s">
        <v>1867</v>
      </c>
      <c r="B485" s="1">
        <v>44944</v>
      </c>
      <c r="C485">
        <v>2023</v>
      </c>
      <c r="D485" t="s">
        <v>18</v>
      </c>
      <c r="E485" t="s">
        <v>1868</v>
      </c>
      <c r="F485" t="s">
        <v>30</v>
      </c>
      <c r="G485">
        <v>5</v>
      </c>
      <c r="H485">
        <v>347.92</v>
      </c>
      <c r="I485" t="s">
        <v>1869</v>
      </c>
      <c r="J485" t="s">
        <v>72</v>
      </c>
      <c r="K485" t="s">
        <v>96</v>
      </c>
      <c r="L485" t="s">
        <v>1870</v>
      </c>
      <c r="M485">
        <v>6</v>
      </c>
      <c r="N485" t="s">
        <v>88</v>
      </c>
      <c r="O485" t="s">
        <v>83</v>
      </c>
      <c r="P485">
        <v>1739.6</v>
      </c>
      <c r="Q485">
        <v>1739.6</v>
      </c>
      <c r="R485" t="str">
        <f>IF(OR(P485&lt;Outliers!$B$5, P485&gt;Outliers!$B$6), "outliers", "")</f>
        <v/>
      </c>
    </row>
    <row r="486" spans="1:18" x14ac:dyDescent="0.25">
      <c r="A486" t="s">
        <v>1871</v>
      </c>
      <c r="B486" s="1">
        <v>45441</v>
      </c>
      <c r="C486">
        <v>2024</v>
      </c>
      <c r="D486" t="s">
        <v>53</v>
      </c>
      <c r="E486" t="s">
        <v>1872</v>
      </c>
      <c r="F486" t="s">
        <v>47</v>
      </c>
      <c r="G486">
        <v>4</v>
      </c>
      <c r="H486">
        <v>15.01</v>
      </c>
      <c r="I486" t="s">
        <v>1601</v>
      </c>
      <c r="J486" t="s">
        <v>72</v>
      </c>
      <c r="K486" t="s">
        <v>40</v>
      </c>
      <c r="L486" t="s">
        <v>1873</v>
      </c>
      <c r="M486">
        <v>6</v>
      </c>
      <c r="O486" t="s">
        <v>51</v>
      </c>
      <c r="P486">
        <v>60.04</v>
      </c>
      <c r="Q486">
        <v>60.04</v>
      </c>
      <c r="R486" t="str">
        <f>IF(OR(P486&lt;Outliers!$B$5, P486&gt;Outliers!$B$6), "outliers", "")</f>
        <v/>
      </c>
    </row>
    <row r="487" spans="1:18" x14ac:dyDescent="0.25">
      <c r="A487" t="s">
        <v>1874</v>
      </c>
      <c r="B487" s="1">
        <v>45139</v>
      </c>
      <c r="C487">
        <v>2023</v>
      </c>
      <c r="D487" t="s">
        <v>28</v>
      </c>
      <c r="E487" t="s">
        <v>1875</v>
      </c>
      <c r="F487" t="s">
        <v>47</v>
      </c>
      <c r="G487">
        <v>3</v>
      </c>
      <c r="H487">
        <v>404.79</v>
      </c>
      <c r="I487" t="s">
        <v>1876</v>
      </c>
      <c r="J487" t="s">
        <v>72</v>
      </c>
      <c r="K487" t="s">
        <v>23</v>
      </c>
      <c r="L487" t="s">
        <v>1877</v>
      </c>
      <c r="M487">
        <v>6</v>
      </c>
      <c r="N487" t="s">
        <v>25</v>
      </c>
      <c r="O487" t="s">
        <v>26</v>
      </c>
      <c r="P487">
        <v>1214.3699999999999</v>
      </c>
      <c r="Q487">
        <v>1214.3699999999999</v>
      </c>
      <c r="R487" t="str">
        <f>IF(OR(P487&lt;Outliers!$B$5, P487&gt;Outliers!$B$6), "outliers", "")</f>
        <v/>
      </c>
    </row>
    <row r="488" spans="1:18" x14ac:dyDescent="0.25">
      <c r="A488" t="s">
        <v>1878</v>
      </c>
      <c r="B488" s="1">
        <v>44960</v>
      </c>
      <c r="C488">
        <v>2023</v>
      </c>
      <c r="D488" t="s">
        <v>18</v>
      </c>
      <c r="E488" t="s">
        <v>1879</v>
      </c>
      <c r="F488" t="s">
        <v>55</v>
      </c>
      <c r="G488">
        <v>4</v>
      </c>
      <c r="H488">
        <v>611.26</v>
      </c>
      <c r="I488" t="s">
        <v>1532</v>
      </c>
      <c r="J488" t="s">
        <v>72</v>
      </c>
      <c r="K488" t="s">
        <v>23</v>
      </c>
      <c r="L488" t="s">
        <v>1880</v>
      </c>
      <c r="M488">
        <v>5</v>
      </c>
      <c r="N488" t="s">
        <v>25</v>
      </c>
      <c r="O488" t="s">
        <v>34</v>
      </c>
      <c r="P488">
        <v>2445.04</v>
      </c>
      <c r="Q488">
        <v>2445.04</v>
      </c>
      <c r="R488" t="str">
        <f>IF(OR(P488&lt;Outliers!$B$5, P488&gt;Outliers!$B$6), "outliers", "")</f>
        <v/>
      </c>
    </row>
    <row r="489" spans="1:18" x14ac:dyDescent="0.25">
      <c r="A489" t="s">
        <v>1881</v>
      </c>
      <c r="B489" s="1">
        <v>44994</v>
      </c>
      <c r="C489">
        <v>2023</v>
      </c>
      <c r="D489" t="s">
        <v>18</v>
      </c>
      <c r="E489" t="s">
        <v>1882</v>
      </c>
      <c r="F489" t="s">
        <v>55</v>
      </c>
      <c r="G489">
        <v>3</v>
      </c>
      <c r="H489">
        <v>346.52</v>
      </c>
      <c r="I489" t="s">
        <v>1883</v>
      </c>
      <c r="J489" t="s">
        <v>39</v>
      </c>
      <c r="K489" t="s">
        <v>96</v>
      </c>
      <c r="L489" t="s">
        <v>1884</v>
      </c>
      <c r="M489">
        <v>3</v>
      </c>
      <c r="N489" t="s">
        <v>25</v>
      </c>
      <c r="O489" t="s">
        <v>83</v>
      </c>
      <c r="P489">
        <v>1039.56</v>
      </c>
      <c r="Q489">
        <v>1039.56</v>
      </c>
      <c r="R489" t="str">
        <f>IF(OR(P489&lt;Outliers!$B$5, P489&gt;Outliers!$B$6), "outliers", "")</f>
        <v/>
      </c>
    </row>
    <row r="490" spans="1:18" x14ac:dyDescent="0.25">
      <c r="A490" t="s">
        <v>1885</v>
      </c>
      <c r="B490" s="1">
        <v>45631</v>
      </c>
      <c r="C490">
        <v>2024</v>
      </c>
      <c r="D490" t="s">
        <v>45</v>
      </c>
      <c r="E490" t="s">
        <v>1886</v>
      </c>
      <c r="F490" t="s">
        <v>47</v>
      </c>
      <c r="G490">
        <v>1</v>
      </c>
      <c r="H490">
        <v>36.65</v>
      </c>
      <c r="I490" t="s">
        <v>1887</v>
      </c>
      <c r="J490" t="s">
        <v>32</v>
      </c>
      <c r="K490" t="s">
        <v>40</v>
      </c>
      <c r="L490" t="s">
        <v>1888</v>
      </c>
      <c r="M490">
        <v>1</v>
      </c>
      <c r="N490" t="s">
        <v>88</v>
      </c>
      <c r="O490" t="s">
        <v>43</v>
      </c>
      <c r="P490">
        <v>36.65</v>
      </c>
      <c r="Q490">
        <v>36.65</v>
      </c>
      <c r="R490" t="str">
        <f>IF(OR(P490&lt;Outliers!$B$5, P490&gt;Outliers!$B$6), "outliers", "")</f>
        <v/>
      </c>
    </row>
    <row r="491" spans="1:18" x14ac:dyDescent="0.25">
      <c r="A491" t="s">
        <v>1889</v>
      </c>
      <c r="B491" s="1">
        <v>45174</v>
      </c>
      <c r="C491">
        <v>2023</v>
      </c>
      <c r="D491" t="s">
        <v>28</v>
      </c>
      <c r="E491" t="s">
        <v>1890</v>
      </c>
      <c r="F491" t="s">
        <v>37</v>
      </c>
      <c r="G491">
        <v>3</v>
      </c>
      <c r="H491">
        <v>149.34</v>
      </c>
      <c r="I491" t="s">
        <v>1073</v>
      </c>
      <c r="J491" t="s">
        <v>67</v>
      </c>
      <c r="K491" t="s">
        <v>40</v>
      </c>
      <c r="L491" t="s">
        <v>1891</v>
      </c>
      <c r="M491">
        <v>7</v>
      </c>
      <c r="N491" t="s">
        <v>88</v>
      </c>
      <c r="O491" t="s">
        <v>43</v>
      </c>
      <c r="P491">
        <v>448.02</v>
      </c>
      <c r="Q491">
        <v>448.02</v>
      </c>
      <c r="R491" t="str">
        <f>IF(OR(P491&lt;Outliers!$B$5, P491&gt;Outliers!$B$6), "outliers", "")</f>
        <v/>
      </c>
    </row>
    <row r="492" spans="1:18" x14ac:dyDescent="0.25">
      <c r="A492" t="s">
        <v>1892</v>
      </c>
      <c r="B492" s="1">
        <v>45495</v>
      </c>
      <c r="C492">
        <v>2024</v>
      </c>
      <c r="D492" t="s">
        <v>28</v>
      </c>
      <c r="E492" t="s">
        <v>1893</v>
      </c>
      <c r="F492" t="s">
        <v>47</v>
      </c>
      <c r="G492">
        <v>5</v>
      </c>
      <c r="H492">
        <v>467.81</v>
      </c>
      <c r="I492" t="s">
        <v>1894</v>
      </c>
      <c r="J492" t="s">
        <v>32</v>
      </c>
      <c r="K492" t="s">
        <v>40</v>
      </c>
      <c r="L492" t="s">
        <v>1895</v>
      </c>
      <c r="M492">
        <v>10</v>
      </c>
      <c r="O492" t="s">
        <v>51</v>
      </c>
      <c r="P492">
        <v>2339.0500000000002</v>
      </c>
      <c r="Q492">
        <v>2339.0500000000002</v>
      </c>
      <c r="R492" t="str">
        <f>IF(OR(P492&lt;Outliers!$B$5, P492&gt;Outliers!$B$6), "outliers", "")</f>
        <v/>
      </c>
    </row>
    <row r="493" spans="1:18" x14ac:dyDescent="0.25">
      <c r="A493" t="s">
        <v>1896</v>
      </c>
      <c r="B493" s="1">
        <v>44931</v>
      </c>
      <c r="C493">
        <v>2023</v>
      </c>
      <c r="D493" t="s">
        <v>18</v>
      </c>
      <c r="E493" t="s">
        <v>1897</v>
      </c>
      <c r="F493" t="s">
        <v>30</v>
      </c>
      <c r="G493">
        <v>5</v>
      </c>
      <c r="H493">
        <v>420.7</v>
      </c>
      <c r="I493" t="s">
        <v>1849</v>
      </c>
      <c r="J493" t="s">
        <v>72</v>
      </c>
      <c r="K493" t="s">
        <v>96</v>
      </c>
      <c r="L493" t="s">
        <v>1898</v>
      </c>
      <c r="M493">
        <v>5</v>
      </c>
      <c r="N493" t="s">
        <v>88</v>
      </c>
      <c r="O493" t="s">
        <v>51</v>
      </c>
      <c r="P493">
        <v>2103.5</v>
      </c>
      <c r="Q493">
        <v>2103.5</v>
      </c>
      <c r="R493" t="str">
        <f>IF(OR(P493&lt;Outliers!$B$5, P493&gt;Outliers!$B$6), "outliers", "")</f>
        <v/>
      </c>
    </row>
    <row r="494" spans="1:18" x14ac:dyDescent="0.25">
      <c r="A494" t="s">
        <v>1899</v>
      </c>
      <c r="B494" s="1">
        <v>45224</v>
      </c>
      <c r="C494">
        <v>2023</v>
      </c>
      <c r="D494" t="s">
        <v>45</v>
      </c>
      <c r="E494" t="s">
        <v>1900</v>
      </c>
      <c r="F494" t="s">
        <v>65</v>
      </c>
      <c r="G494">
        <v>5</v>
      </c>
      <c r="H494">
        <v>606.52</v>
      </c>
      <c r="I494" t="s">
        <v>358</v>
      </c>
      <c r="J494" t="s">
        <v>22</v>
      </c>
      <c r="K494" t="s">
        <v>23</v>
      </c>
      <c r="L494" t="s">
        <v>1901</v>
      </c>
      <c r="M494">
        <v>6</v>
      </c>
      <c r="N494" t="s">
        <v>25</v>
      </c>
      <c r="O494" t="s">
        <v>26</v>
      </c>
      <c r="P494">
        <v>3032.6</v>
      </c>
      <c r="Q494">
        <v>3032.6</v>
      </c>
      <c r="R494" t="str">
        <f>IF(OR(P494&lt;Outliers!$B$5, P494&gt;Outliers!$B$6), "outliers", "")</f>
        <v/>
      </c>
    </row>
    <row r="495" spans="1:18" x14ac:dyDescent="0.25">
      <c r="A495" t="s">
        <v>1902</v>
      </c>
      <c r="B495" s="1">
        <v>45685</v>
      </c>
      <c r="C495">
        <v>2025</v>
      </c>
      <c r="D495" t="s">
        <v>18</v>
      </c>
      <c r="E495" t="s">
        <v>1903</v>
      </c>
      <c r="F495" t="s">
        <v>30</v>
      </c>
      <c r="G495">
        <v>1</v>
      </c>
      <c r="H495">
        <v>420.26</v>
      </c>
      <c r="I495" t="s">
        <v>1904</v>
      </c>
      <c r="J495" t="s">
        <v>39</v>
      </c>
      <c r="K495" t="s">
        <v>96</v>
      </c>
      <c r="L495" t="s">
        <v>1905</v>
      </c>
      <c r="M495">
        <v>4</v>
      </c>
      <c r="N495" t="s">
        <v>42</v>
      </c>
      <c r="O495" t="s">
        <v>51</v>
      </c>
      <c r="P495">
        <v>420.26</v>
      </c>
      <c r="Q495">
        <v>420.26</v>
      </c>
      <c r="R495" t="str">
        <f>IF(OR(P495&lt;Outliers!$B$5, P495&gt;Outliers!$B$6), "outliers", "")</f>
        <v/>
      </c>
    </row>
    <row r="496" spans="1:18" x14ac:dyDescent="0.25">
      <c r="A496" t="s">
        <v>1906</v>
      </c>
      <c r="B496" s="1">
        <v>45126</v>
      </c>
      <c r="C496">
        <v>2023</v>
      </c>
      <c r="D496" t="s">
        <v>28</v>
      </c>
      <c r="E496" t="s">
        <v>1907</v>
      </c>
      <c r="F496" t="s">
        <v>65</v>
      </c>
      <c r="G496">
        <v>3</v>
      </c>
      <c r="H496">
        <v>505.79</v>
      </c>
      <c r="I496" t="s">
        <v>1908</v>
      </c>
      <c r="J496" t="s">
        <v>22</v>
      </c>
      <c r="K496" t="s">
        <v>96</v>
      </c>
      <c r="L496" t="s">
        <v>1909</v>
      </c>
      <c r="M496">
        <v>3</v>
      </c>
      <c r="N496" t="s">
        <v>42</v>
      </c>
      <c r="O496" t="s">
        <v>34</v>
      </c>
      <c r="P496">
        <v>1517.37</v>
      </c>
      <c r="Q496">
        <v>1517.37</v>
      </c>
      <c r="R496" t="str">
        <f>IF(OR(P496&lt;Outliers!$B$5, P496&gt;Outliers!$B$6), "outliers", "")</f>
        <v/>
      </c>
    </row>
    <row r="497" spans="1:18" x14ac:dyDescent="0.25">
      <c r="A497" t="s">
        <v>1910</v>
      </c>
      <c r="B497" s="1">
        <v>45813</v>
      </c>
      <c r="C497">
        <v>2025</v>
      </c>
      <c r="D497" t="s">
        <v>53</v>
      </c>
      <c r="E497" t="s">
        <v>1911</v>
      </c>
      <c r="F497" t="s">
        <v>30</v>
      </c>
      <c r="G497">
        <v>4</v>
      </c>
      <c r="H497">
        <v>493.73</v>
      </c>
      <c r="I497" t="s">
        <v>641</v>
      </c>
      <c r="J497" t="s">
        <v>22</v>
      </c>
      <c r="K497" t="s">
        <v>96</v>
      </c>
      <c r="L497" t="s">
        <v>1912</v>
      </c>
      <c r="M497">
        <v>6</v>
      </c>
      <c r="N497" t="s">
        <v>25</v>
      </c>
      <c r="O497" t="s">
        <v>51</v>
      </c>
      <c r="P497">
        <v>1974.92</v>
      </c>
      <c r="Q497">
        <v>1974.92</v>
      </c>
      <c r="R497" t="str">
        <f>IF(OR(P497&lt;Outliers!$B$5, P497&gt;Outliers!$B$6), "outliers", "")</f>
        <v/>
      </c>
    </row>
    <row r="498" spans="1:18" x14ac:dyDescent="0.25">
      <c r="A498" t="s">
        <v>1913</v>
      </c>
      <c r="B498" s="1">
        <v>45730</v>
      </c>
      <c r="C498">
        <v>2025</v>
      </c>
      <c r="D498" t="s">
        <v>18</v>
      </c>
      <c r="E498" t="s">
        <v>1914</v>
      </c>
      <c r="F498" t="s">
        <v>55</v>
      </c>
      <c r="G498">
        <v>3</v>
      </c>
      <c r="H498">
        <v>201.21</v>
      </c>
      <c r="I498" t="s">
        <v>1915</v>
      </c>
      <c r="J498" t="s">
        <v>32</v>
      </c>
      <c r="K498" t="s">
        <v>40</v>
      </c>
      <c r="L498" t="s">
        <v>1916</v>
      </c>
      <c r="M498">
        <v>3</v>
      </c>
      <c r="N498" t="s">
        <v>25</v>
      </c>
      <c r="O498" t="s">
        <v>83</v>
      </c>
      <c r="P498">
        <v>603.63</v>
      </c>
      <c r="Q498">
        <v>603.63</v>
      </c>
      <c r="R498" t="str">
        <f>IF(OR(P498&lt;Outliers!$B$5, P498&gt;Outliers!$B$6), "outliers", "")</f>
        <v/>
      </c>
    </row>
    <row r="499" spans="1:18" x14ac:dyDescent="0.25">
      <c r="A499" t="s">
        <v>1917</v>
      </c>
      <c r="B499" s="1">
        <v>45589</v>
      </c>
      <c r="C499">
        <v>2024</v>
      </c>
      <c r="D499" t="s">
        <v>45</v>
      </c>
      <c r="E499" t="s">
        <v>1918</v>
      </c>
      <c r="F499" t="s">
        <v>55</v>
      </c>
      <c r="G499">
        <v>3</v>
      </c>
      <c r="H499">
        <v>112.29</v>
      </c>
      <c r="I499" t="s">
        <v>1919</v>
      </c>
      <c r="J499" t="s">
        <v>67</v>
      </c>
      <c r="K499" t="s">
        <v>23</v>
      </c>
      <c r="L499" t="s">
        <v>1920</v>
      </c>
      <c r="M499">
        <v>6</v>
      </c>
      <c r="O499" t="s">
        <v>83</v>
      </c>
      <c r="P499">
        <v>336.87</v>
      </c>
      <c r="Q499">
        <v>336.87</v>
      </c>
      <c r="R499" t="str">
        <f>IF(OR(P499&lt;Outliers!$B$5, P499&gt;Outliers!$B$6), "outliers", "")</f>
        <v/>
      </c>
    </row>
    <row r="500" spans="1:18" x14ac:dyDescent="0.25">
      <c r="A500" t="s">
        <v>1921</v>
      </c>
      <c r="B500" s="1">
        <v>45119</v>
      </c>
      <c r="C500">
        <v>2023</v>
      </c>
      <c r="D500" t="s">
        <v>28</v>
      </c>
      <c r="E500" t="s">
        <v>1922</v>
      </c>
      <c r="F500" t="s">
        <v>37</v>
      </c>
      <c r="G500">
        <v>4</v>
      </c>
      <c r="H500">
        <v>132.56</v>
      </c>
      <c r="I500" t="s">
        <v>995</v>
      </c>
      <c r="J500" t="s">
        <v>72</v>
      </c>
      <c r="K500" t="s">
        <v>49</v>
      </c>
      <c r="L500" t="s">
        <v>1923</v>
      </c>
      <c r="M500">
        <v>8</v>
      </c>
      <c r="N500" t="s">
        <v>88</v>
      </c>
      <c r="O500" t="s">
        <v>26</v>
      </c>
      <c r="P500">
        <v>530.24</v>
      </c>
      <c r="Q500">
        <v>530.24</v>
      </c>
      <c r="R500" t="str">
        <f>IF(OR(P500&lt;Outliers!$B$5, P500&gt;Outliers!$B$6), "outliers", "")</f>
        <v/>
      </c>
    </row>
    <row r="501" spans="1:18" x14ac:dyDescent="0.25">
      <c r="A501" t="s">
        <v>1924</v>
      </c>
      <c r="B501" s="1">
        <v>45022</v>
      </c>
      <c r="C501">
        <v>2023</v>
      </c>
      <c r="D501" t="s">
        <v>53</v>
      </c>
      <c r="E501" t="s">
        <v>1925</v>
      </c>
      <c r="F501" t="s">
        <v>55</v>
      </c>
      <c r="G501">
        <v>3</v>
      </c>
      <c r="H501">
        <v>539.46</v>
      </c>
      <c r="I501" t="s">
        <v>1926</v>
      </c>
      <c r="J501" t="s">
        <v>39</v>
      </c>
      <c r="K501" t="s">
        <v>23</v>
      </c>
      <c r="L501" t="s">
        <v>1927</v>
      </c>
      <c r="M501">
        <v>4</v>
      </c>
      <c r="N501" t="s">
        <v>25</v>
      </c>
      <c r="O501" t="s">
        <v>51</v>
      </c>
      <c r="P501">
        <v>1618.38</v>
      </c>
      <c r="Q501">
        <v>1618.38</v>
      </c>
      <c r="R501" t="str">
        <f>IF(OR(P501&lt;Outliers!$B$5, P501&gt;Outliers!$B$6), "outliers", "")</f>
        <v/>
      </c>
    </row>
    <row r="502" spans="1:18" x14ac:dyDescent="0.25">
      <c r="A502" t="s">
        <v>1928</v>
      </c>
      <c r="B502" s="1">
        <v>45389</v>
      </c>
      <c r="C502">
        <v>2024</v>
      </c>
      <c r="D502" t="s">
        <v>53</v>
      </c>
      <c r="E502" t="s">
        <v>1929</v>
      </c>
      <c r="F502" t="s">
        <v>65</v>
      </c>
      <c r="G502">
        <v>5</v>
      </c>
      <c r="H502">
        <v>508.59</v>
      </c>
      <c r="I502" t="s">
        <v>1930</v>
      </c>
      <c r="J502" t="s">
        <v>72</v>
      </c>
      <c r="K502" t="s">
        <v>49</v>
      </c>
      <c r="L502" t="s">
        <v>1931</v>
      </c>
      <c r="M502">
        <v>8</v>
      </c>
      <c r="N502" t="s">
        <v>88</v>
      </c>
      <c r="O502" t="s">
        <v>51</v>
      </c>
      <c r="P502">
        <v>2542.9499999999998</v>
      </c>
      <c r="Q502">
        <v>2542.9499999999998</v>
      </c>
      <c r="R502" t="str">
        <f>IF(OR(P502&lt;Outliers!$B$5, P502&gt;Outliers!$B$6), "outliers", "")</f>
        <v/>
      </c>
    </row>
    <row r="503" spans="1:18" x14ac:dyDescent="0.25">
      <c r="A503" t="s">
        <v>1932</v>
      </c>
      <c r="B503" s="1">
        <v>45326</v>
      </c>
      <c r="C503">
        <v>2024</v>
      </c>
      <c r="D503" t="s">
        <v>18</v>
      </c>
      <c r="E503" t="s">
        <v>1933</v>
      </c>
      <c r="F503" t="s">
        <v>80</v>
      </c>
      <c r="G503">
        <v>4</v>
      </c>
      <c r="H503">
        <v>203.46</v>
      </c>
      <c r="I503" t="s">
        <v>692</v>
      </c>
      <c r="J503" t="s">
        <v>39</v>
      </c>
      <c r="K503" t="s">
        <v>96</v>
      </c>
      <c r="L503" t="s">
        <v>1934</v>
      </c>
      <c r="M503">
        <v>7</v>
      </c>
      <c r="N503" t="s">
        <v>25</v>
      </c>
      <c r="O503" t="s">
        <v>34</v>
      </c>
      <c r="P503">
        <v>813.84</v>
      </c>
      <c r="Q503">
        <v>813.84</v>
      </c>
      <c r="R503" t="str">
        <f>IF(OR(P503&lt;Outliers!$B$5, P503&gt;Outliers!$B$6), "outliers", "")</f>
        <v/>
      </c>
    </row>
    <row r="504" spans="1:18" x14ac:dyDescent="0.25">
      <c r="A504" t="s">
        <v>1935</v>
      </c>
      <c r="B504" s="1">
        <v>45066</v>
      </c>
      <c r="C504">
        <v>2023</v>
      </c>
      <c r="D504" t="s">
        <v>53</v>
      </c>
      <c r="E504" t="s">
        <v>1936</v>
      </c>
      <c r="F504" t="s">
        <v>20</v>
      </c>
      <c r="G504">
        <v>3</v>
      </c>
      <c r="H504">
        <v>565.25</v>
      </c>
      <c r="I504" t="s">
        <v>1937</v>
      </c>
      <c r="J504" t="s">
        <v>22</v>
      </c>
      <c r="K504" t="s">
        <v>49</v>
      </c>
      <c r="L504" t="s">
        <v>1938</v>
      </c>
      <c r="M504">
        <v>7</v>
      </c>
      <c r="N504" t="s">
        <v>25</v>
      </c>
      <c r="O504" t="s">
        <v>43</v>
      </c>
      <c r="P504">
        <v>1695.75</v>
      </c>
      <c r="Q504">
        <v>1695.75</v>
      </c>
      <c r="R504" t="str">
        <f>IF(OR(P504&lt;Outliers!$B$5, P504&gt;Outliers!$B$6), "outliers", "")</f>
        <v/>
      </c>
    </row>
    <row r="505" spans="1:18" x14ac:dyDescent="0.25">
      <c r="A505" t="s">
        <v>1939</v>
      </c>
      <c r="B505" s="1">
        <v>45169</v>
      </c>
      <c r="C505">
        <v>2023</v>
      </c>
      <c r="D505" t="s">
        <v>28</v>
      </c>
      <c r="E505" t="s">
        <v>1940</v>
      </c>
      <c r="F505" t="s">
        <v>37</v>
      </c>
      <c r="G505">
        <v>3</v>
      </c>
      <c r="H505">
        <v>136.84</v>
      </c>
      <c r="I505" t="s">
        <v>1941</v>
      </c>
      <c r="J505" t="s">
        <v>32</v>
      </c>
      <c r="K505" t="s">
        <v>96</v>
      </c>
      <c r="L505" t="s">
        <v>1942</v>
      </c>
      <c r="M505">
        <v>4</v>
      </c>
      <c r="N505" t="s">
        <v>42</v>
      </c>
      <c r="O505" t="s">
        <v>51</v>
      </c>
      <c r="P505">
        <v>410.52</v>
      </c>
      <c r="Q505">
        <v>410.52</v>
      </c>
      <c r="R505" t="str">
        <f>IF(OR(P505&lt;Outliers!$B$5, P505&gt;Outliers!$B$6), "outliers", "")</f>
        <v/>
      </c>
    </row>
    <row r="506" spans="1:18" x14ac:dyDescent="0.25">
      <c r="A506" t="s">
        <v>1943</v>
      </c>
      <c r="B506" s="1">
        <v>45819</v>
      </c>
      <c r="C506">
        <v>2025</v>
      </c>
      <c r="D506" t="s">
        <v>53</v>
      </c>
      <c r="E506" t="s">
        <v>1944</v>
      </c>
      <c r="F506" t="s">
        <v>20</v>
      </c>
      <c r="G506">
        <v>2</v>
      </c>
      <c r="H506">
        <v>464.5</v>
      </c>
      <c r="I506" t="s">
        <v>1945</v>
      </c>
      <c r="J506" t="s">
        <v>32</v>
      </c>
      <c r="K506" t="s">
        <v>40</v>
      </c>
      <c r="L506" t="s">
        <v>1946</v>
      </c>
      <c r="M506">
        <v>2</v>
      </c>
      <c r="N506" t="s">
        <v>88</v>
      </c>
      <c r="O506" t="s">
        <v>26</v>
      </c>
      <c r="P506">
        <v>929</v>
      </c>
      <c r="Q506">
        <v>929</v>
      </c>
      <c r="R506" t="str">
        <f>IF(OR(P506&lt;Outliers!$B$5, P506&gt;Outliers!$B$6), "outliers", "")</f>
        <v/>
      </c>
    </row>
    <row r="507" spans="1:18" x14ac:dyDescent="0.25">
      <c r="A507" t="s">
        <v>1947</v>
      </c>
      <c r="B507" s="1">
        <v>45088</v>
      </c>
      <c r="C507">
        <v>2023</v>
      </c>
      <c r="D507" t="s">
        <v>53</v>
      </c>
      <c r="E507" t="s">
        <v>1948</v>
      </c>
      <c r="F507" t="s">
        <v>55</v>
      </c>
      <c r="G507">
        <v>2</v>
      </c>
      <c r="H507">
        <v>434.97</v>
      </c>
      <c r="I507" t="s">
        <v>1532</v>
      </c>
      <c r="J507" t="s">
        <v>32</v>
      </c>
      <c r="K507" t="s">
        <v>23</v>
      </c>
      <c r="L507" t="s">
        <v>1949</v>
      </c>
      <c r="M507">
        <v>7</v>
      </c>
      <c r="O507" t="s">
        <v>43</v>
      </c>
      <c r="P507">
        <v>869.94</v>
      </c>
      <c r="Q507">
        <v>869.94</v>
      </c>
      <c r="R507" t="str">
        <f>IF(OR(P507&lt;Outliers!$B$5, P507&gt;Outliers!$B$6), "outliers", "")</f>
        <v/>
      </c>
    </row>
    <row r="508" spans="1:18" x14ac:dyDescent="0.25">
      <c r="A508" t="s">
        <v>1950</v>
      </c>
      <c r="B508" s="1">
        <v>45132</v>
      </c>
      <c r="C508">
        <v>2023</v>
      </c>
      <c r="D508" t="s">
        <v>28</v>
      </c>
      <c r="E508" t="s">
        <v>1951</v>
      </c>
      <c r="F508" t="s">
        <v>20</v>
      </c>
      <c r="G508">
        <v>2</v>
      </c>
      <c r="H508">
        <v>43.67</v>
      </c>
      <c r="I508" t="s">
        <v>1952</v>
      </c>
      <c r="J508" t="s">
        <v>72</v>
      </c>
      <c r="K508" t="s">
        <v>49</v>
      </c>
      <c r="L508" t="s">
        <v>1953</v>
      </c>
      <c r="M508">
        <v>4</v>
      </c>
      <c r="N508" t="s">
        <v>88</v>
      </c>
      <c r="O508" t="s">
        <v>26</v>
      </c>
      <c r="P508">
        <v>87.34</v>
      </c>
      <c r="Q508">
        <v>87.34</v>
      </c>
      <c r="R508" t="str">
        <f>IF(OR(P508&lt;Outliers!$B$5, P508&gt;Outliers!$B$6), "outliers", "")</f>
        <v/>
      </c>
    </row>
    <row r="509" spans="1:18" x14ac:dyDescent="0.25">
      <c r="A509" t="s">
        <v>1954</v>
      </c>
      <c r="B509" s="1">
        <v>45112</v>
      </c>
      <c r="C509">
        <v>2023</v>
      </c>
      <c r="D509" t="s">
        <v>28</v>
      </c>
      <c r="E509" t="s">
        <v>1955</v>
      </c>
      <c r="F509" t="s">
        <v>30</v>
      </c>
      <c r="G509">
        <v>1</v>
      </c>
      <c r="H509">
        <v>171.59</v>
      </c>
      <c r="I509" t="s">
        <v>1306</v>
      </c>
      <c r="J509" t="s">
        <v>39</v>
      </c>
      <c r="K509" t="s">
        <v>96</v>
      </c>
      <c r="L509" t="s">
        <v>1956</v>
      </c>
      <c r="M509">
        <v>5</v>
      </c>
      <c r="N509" t="s">
        <v>88</v>
      </c>
      <c r="O509" t="s">
        <v>43</v>
      </c>
      <c r="P509">
        <v>171.59</v>
      </c>
      <c r="Q509">
        <v>171.59</v>
      </c>
      <c r="R509" t="str">
        <f>IF(OR(P509&lt;Outliers!$B$5, P509&gt;Outliers!$B$6), "outliers", "")</f>
        <v/>
      </c>
    </row>
    <row r="510" spans="1:18" x14ac:dyDescent="0.25">
      <c r="A510" t="s">
        <v>1957</v>
      </c>
      <c r="B510" s="1">
        <v>45791</v>
      </c>
      <c r="C510">
        <v>2025</v>
      </c>
      <c r="D510" t="s">
        <v>53</v>
      </c>
      <c r="E510" t="s">
        <v>1958</v>
      </c>
      <c r="F510" t="s">
        <v>30</v>
      </c>
      <c r="G510">
        <v>1</v>
      </c>
      <c r="H510">
        <v>558.27</v>
      </c>
      <c r="I510" t="s">
        <v>1959</v>
      </c>
      <c r="J510" t="s">
        <v>32</v>
      </c>
      <c r="K510" t="s">
        <v>57</v>
      </c>
      <c r="L510" t="s">
        <v>1960</v>
      </c>
      <c r="M510">
        <v>1</v>
      </c>
      <c r="O510" t="s">
        <v>34</v>
      </c>
      <c r="P510">
        <v>558.27</v>
      </c>
      <c r="Q510">
        <v>558.27</v>
      </c>
      <c r="R510" t="str">
        <f>IF(OR(P510&lt;Outliers!$B$5, P510&gt;Outliers!$B$6), "outliers", "")</f>
        <v/>
      </c>
    </row>
    <row r="511" spans="1:18" x14ac:dyDescent="0.25">
      <c r="A511" t="s">
        <v>1961</v>
      </c>
      <c r="B511" s="1">
        <v>44972</v>
      </c>
      <c r="C511">
        <v>2023</v>
      </c>
      <c r="D511" t="s">
        <v>18</v>
      </c>
      <c r="E511" t="s">
        <v>1962</v>
      </c>
      <c r="F511" t="s">
        <v>65</v>
      </c>
      <c r="G511">
        <v>2</v>
      </c>
      <c r="H511">
        <v>425.03</v>
      </c>
      <c r="I511" t="s">
        <v>1963</v>
      </c>
      <c r="J511" t="s">
        <v>72</v>
      </c>
      <c r="K511" t="s">
        <v>49</v>
      </c>
      <c r="L511" t="s">
        <v>1964</v>
      </c>
      <c r="M511">
        <v>2</v>
      </c>
      <c r="N511" t="s">
        <v>88</v>
      </c>
      <c r="O511" t="s">
        <v>83</v>
      </c>
      <c r="P511">
        <v>850.06</v>
      </c>
      <c r="Q511">
        <v>850.06</v>
      </c>
      <c r="R511" t="str">
        <f>IF(OR(P511&lt;Outliers!$B$5, P511&gt;Outliers!$B$6), "outliers", "")</f>
        <v/>
      </c>
    </row>
    <row r="512" spans="1:18" x14ac:dyDescent="0.25">
      <c r="A512" t="s">
        <v>1965</v>
      </c>
      <c r="B512" s="1">
        <v>45642</v>
      </c>
      <c r="C512">
        <v>2024</v>
      </c>
      <c r="D512" t="s">
        <v>45</v>
      </c>
      <c r="E512" t="s">
        <v>1966</v>
      </c>
      <c r="F512" t="s">
        <v>55</v>
      </c>
      <c r="G512">
        <v>1</v>
      </c>
      <c r="H512">
        <v>376.76</v>
      </c>
      <c r="I512" t="s">
        <v>1967</v>
      </c>
      <c r="J512" t="s">
        <v>22</v>
      </c>
      <c r="K512" t="s">
        <v>57</v>
      </c>
      <c r="L512" t="s">
        <v>1968</v>
      </c>
      <c r="M512">
        <v>5</v>
      </c>
      <c r="N512" t="s">
        <v>25</v>
      </c>
      <c r="O512" t="s">
        <v>43</v>
      </c>
      <c r="P512">
        <v>376.76</v>
      </c>
      <c r="Q512">
        <v>376.76</v>
      </c>
      <c r="R512" t="str">
        <f>IF(OR(P512&lt;Outliers!$B$5, P512&gt;Outliers!$B$6), "outliers", "")</f>
        <v/>
      </c>
    </row>
    <row r="513" spans="1:18" x14ac:dyDescent="0.25">
      <c r="A513" t="s">
        <v>1969</v>
      </c>
      <c r="B513" s="1">
        <v>45366</v>
      </c>
      <c r="C513">
        <v>2024</v>
      </c>
      <c r="D513" t="s">
        <v>18</v>
      </c>
      <c r="E513" t="s">
        <v>1970</v>
      </c>
      <c r="F513" t="s">
        <v>20</v>
      </c>
      <c r="G513">
        <v>5</v>
      </c>
      <c r="H513">
        <v>575.24</v>
      </c>
      <c r="I513" t="s">
        <v>208</v>
      </c>
      <c r="J513" t="s">
        <v>72</v>
      </c>
      <c r="K513" t="s">
        <v>57</v>
      </c>
      <c r="L513" t="s">
        <v>1971</v>
      </c>
      <c r="M513">
        <v>7</v>
      </c>
      <c r="N513" t="s">
        <v>88</v>
      </c>
      <c r="O513" t="s">
        <v>43</v>
      </c>
      <c r="P513">
        <v>2876.2</v>
      </c>
      <c r="Q513">
        <v>2876.2</v>
      </c>
      <c r="R513" t="str">
        <f>IF(OR(P513&lt;Outliers!$B$5, P513&gt;Outliers!$B$6), "outliers", "")</f>
        <v/>
      </c>
    </row>
    <row r="514" spans="1:18" x14ac:dyDescent="0.25">
      <c r="A514" t="s">
        <v>1972</v>
      </c>
      <c r="B514" s="1">
        <v>45562</v>
      </c>
      <c r="C514">
        <v>2024</v>
      </c>
      <c r="D514" t="s">
        <v>28</v>
      </c>
      <c r="E514" t="s">
        <v>1973</v>
      </c>
      <c r="F514" t="s">
        <v>80</v>
      </c>
      <c r="G514">
        <v>3</v>
      </c>
      <c r="H514">
        <v>568.02</v>
      </c>
      <c r="I514" t="s">
        <v>1197</v>
      </c>
      <c r="J514" t="s">
        <v>32</v>
      </c>
      <c r="K514" t="s">
        <v>96</v>
      </c>
      <c r="L514" t="s">
        <v>1974</v>
      </c>
      <c r="M514">
        <v>3</v>
      </c>
      <c r="N514" t="s">
        <v>42</v>
      </c>
      <c r="O514" t="s">
        <v>26</v>
      </c>
      <c r="P514">
        <v>1704.06</v>
      </c>
      <c r="Q514">
        <v>1704.06</v>
      </c>
      <c r="R514" t="str">
        <f>IF(OR(P514&lt;Outliers!$B$5, P514&gt;Outliers!$B$6), "outliers", "")</f>
        <v/>
      </c>
    </row>
    <row r="515" spans="1:18" x14ac:dyDescent="0.25">
      <c r="A515" t="s">
        <v>1975</v>
      </c>
      <c r="B515" s="1">
        <v>45697</v>
      </c>
      <c r="C515">
        <v>2025</v>
      </c>
      <c r="D515" t="s">
        <v>18</v>
      </c>
      <c r="E515" t="s">
        <v>1976</v>
      </c>
      <c r="F515" t="s">
        <v>37</v>
      </c>
      <c r="G515">
        <v>3</v>
      </c>
      <c r="H515">
        <v>94.88</v>
      </c>
      <c r="I515" t="s">
        <v>433</v>
      </c>
      <c r="J515" t="s">
        <v>67</v>
      </c>
      <c r="K515" t="s">
        <v>23</v>
      </c>
      <c r="L515" t="s">
        <v>1977</v>
      </c>
      <c r="M515">
        <v>8</v>
      </c>
      <c r="O515" t="s">
        <v>34</v>
      </c>
      <c r="P515">
        <v>284.64</v>
      </c>
      <c r="Q515">
        <v>284.64</v>
      </c>
      <c r="R515" t="str">
        <f>IF(OR(P515&lt;Outliers!$B$5, P515&gt;Outliers!$B$6), "outliers", "")</f>
        <v/>
      </c>
    </row>
    <row r="516" spans="1:18" x14ac:dyDescent="0.25">
      <c r="A516" t="s">
        <v>1978</v>
      </c>
      <c r="B516" s="1">
        <v>45032</v>
      </c>
      <c r="C516">
        <v>2023</v>
      </c>
      <c r="D516" t="s">
        <v>53</v>
      </c>
      <c r="E516" t="s">
        <v>1979</v>
      </c>
      <c r="F516" t="s">
        <v>55</v>
      </c>
      <c r="G516">
        <v>3</v>
      </c>
      <c r="H516">
        <v>304.14999999999998</v>
      </c>
      <c r="I516" t="s">
        <v>1761</v>
      </c>
      <c r="J516" t="s">
        <v>67</v>
      </c>
      <c r="K516" t="s">
        <v>23</v>
      </c>
      <c r="L516" t="s">
        <v>1980</v>
      </c>
      <c r="M516">
        <v>3</v>
      </c>
      <c r="N516" t="s">
        <v>88</v>
      </c>
      <c r="O516" t="s">
        <v>26</v>
      </c>
      <c r="P516">
        <v>912.45</v>
      </c>
      <c r="Q516">
        <v>912.45</v>
      </c>
      <c r="R516" t="str">
        <f>IF(OR(P516&lt;Outliers!$B$5, P516&gt;Outliers!$B$6), "outliers", "")</f>
        <v/>
      </c>
    </row>
    <row r="517" spans="1:18" x14ac:dyDescent="0.25">
      <c r="A517" t="s">
        <v>1981</v>
      </c>
      <c r="B517" s="1">
        <v>44999</v>
      </c>
      <c r="C517">
        <v>2023</v>
      </c>
      <c r="D517" t="s">
        <v>18</v>
      </c>
      <c r="E517" t="s">
        <v>1982</v>
      </c>
      <c r="F517" t="s">
        <v>30</v>
      </c>
      <c r="G517">
        <v>3</v>
      </c>
      <c r="H517">
        <v>553.52</v>
      </c>
      <c r="I517" t="s">
        <v>1750</v>
      </c>
      <c r="J517" t="s">
        <v>67</v>
      </c>
      <c r="K517" t="s">
        <v>23</v>
      </c>
      <c r="L517" t="s">
        <v>1983</v>
      </c>
      <c r="M517">
        <v>4</v>
      </c>
      <c r="N517" t="s">
        <v>42</v>
      </c>
      <c r="O517" t="s">
        <v>51</v>
      </c>
      <c r="P517">
        <v>1660.56</v>
      </c>
      <c r="Q517">
        <v>1660.56</v>
      </c>
      <c r="R517" t="str">
        <f>IF(OR(P517&lt;Outliers!$B$5, P517&gt;Outliers!$B$6), "outliers", "")</f>
        <v/>
      </c>
    </row>
    <row r="518" spans="1:18" x14ac:dyDescent="0.25">
      <c r="A518" t="s">
        <v>1984</v>
      </c>
      <c r="B518" s="1">
        <v>45389</v>
      </c>
      <c r="C518">
        <v>2024</v>
      </c>
      <c r="D518" t="s">
        <v>53</v>
      </c>
      <c r="E518" t="s">
        <v>1985</v>
      </c>
      <c r="F518" t="s">
        <v>20</v>
      </c>
      <c r="G518">
        <v>3</v>
      </c>
      <c r="H518">
        <v>166.99</v>
      </c>
      <c r="I518" t="s">
        <v>1179</v>
      </c>
      <c r="J518" t="s">
        <v>72</v>
      </c>
      <c r="K518" t="s">
        <v>49</v>
      </c>
      <c r="L518" t="s">
        <v>1986</v>
      </c>
      <c r="M518">
        <v>8</v>
      </c>
      <c r="O518" t="s">
        <v>51</v>
      </c>
      <c r="P518">
        <v>500.97</v>
      </c>
      <c r="Q518">
        <v>500.97</v>
      </c>
      <c r="R518" t="str">
        <f>IF(OR(P518&lt;Outliers!$B$5, P518&gt;Outliers!$B$6), "outliers", "")</f>
        <v/>
      </c>
    </row>
    <row r="519" spans="1:18" x14ac:dyDescent="0.25">
      <c r="A519" t="s">
        <v>1987</v>
      </c>
      <c r="B519" s="1">
        <v>45391</v>
      </c>
      <c r="C519">
        <v>2024</v>
      </c>
      <c r="D519" t="s">
        <v>53</v>
      </c>
      <c r="E519" t="s">
        <v>1988</v>
      </c>
      <c r="F519" t="s">
        <v>37</v>
      </c>
      <c r="G519">
        <v>4</v>
      </c>
      <c r="H519">
        <v>198.35</v>
      </c>
      <c r="I519" t="s">
        <v>1856</v>
      </c>
      <c r="J519" t="s">
        <v>72</v>
      </c>
      <c r="K519" t="s">
        <v>40</v>
      </c>
      <c r="L519" t="s">
        <v>1989</v>
      </c>
      <c r="M519">
        <v>7</v>
      </c>
      <c r="N519" t="s">
        <v>42</v>
      </c>
      <c r="O519" t="s">
        <v>83</v>
      </c>
      <c r="P519">
        <v>793.4</v>
      </c>
      <c r="Q519">
        <v>793.4</v>
      </c>
      <c r="R519" t="str">
        <f>IF(OR(P519&lt;Outliers!$B$5, P519&gt;Outliers!$B$6), "outliers", "")</f>
        <v/>
      </c>
    </row>
    <row r="520" spans="1:18" x14ac:dyDescent="0.25">
      <c r="A520" t="s">
        <v>1990</v>
      </c>
      <c r="B520" s="1">
        <v>45821</v>
      </c>
      <c r="C520">
        <v>2025</v>
      </c>
      <c r="D520" t="s">
        <v>53</v>
      </c>
      <c r="E520" t="s">
        <v>1991</v>
      </c>
      <c r="F520" t="s">
        <v>55</v>
      </c>
      <c r="G520">
        <v>4</v>
      </c>
      <c r="H520">
        <v>403.58</v>
      </c>
      <c r="I520" t="s">
        <v>1567</v>
      </c>
      <c r="J520" t="s">
        <v>32</v>
      </c>
      <c r="K520" t="s">
        <v>96</v>
      </c>
      <c r="L520" t="s">
        <v>1992</v>
      </c>
      <c r="M520">
        <v>9</v>
      </c>
      <c r="N520" t="s">
        <v>25</v>
      </c>
      <c r="O520" t="s">
        <v>34</v>
      </c>
      <c r="P520">
        <v>1614.32</v>
      </c>
      <c r="Q520">
        <v>1614.32</v>
      </c>
      <c r="R520" t="str">
        <f>IF(OR(P520&lt;Outliers!$B$5, P520&gt;Outliers!$B$6), "outliers", "")</f>
        <v/>
      </c>
    </row>
    <row r="521" spans="1:18" x14ac:dyDescent="0.25">
      <c r="A521" t="s">
        <v>1993</v>
      </c>
      <c r="B521" s="1">
        <v>45787</v>
      </c>
      <c r="C521">
        <v>2025</v>
      </c>
      <c r="D521" t="s">
        <v>53</v>
      </c>
      <c r="E521" t="s">
        <v>1994</v>
      </c>
      <c r="F521" t="s">
        <v>65</v>
      </c>
      <c r="G521">
        <v>4</v>
      </c>
      <c r="H521">
        <v>464.29</v>
      </c>
      <c r="I521" t="s">
        <v>1995</v>
      </c>
      <c r="J521" t="s">
        <v>22</v>
      </c>
      <c r="K521" t="s">
        <v>49</v>
      </c>
      <c r="L521" t="s">
        <v>1996</v>
      </c>
      <c r="M521">
        <v>5</v>
      </c>
      <c r="N521" t="s">
        <v>25</v>
      </c>
      <c r="O521" t="s">
        <v>43</v>
      </c>
      <c r="P521">
        <v>1857.16</v>
      </c>
      <c r="Q521">
        <v>1857.16</v>
      </c>
      <c r="R521" t="str">
        <f>IF(OR(P521&lt;Outliers!$B$5, P521&gt;Outliers!$B$6), "outliers", "")</f>
        <v/>
      </c>
    </row>
    <row r="522" spans="1:18" x14ac:dyDescent="0.25">
      <c r="A522" t="s">
        <v>1997</v>
      </c>
      <c r="B522" s="1">
        <v>44995</v>
      </c>
      <c r="C522">
        <v>2023</v>
      </c>
      <c r="D522" t="s">
        <v>18</v>
      </c>
      <c r="E522" t="s">
        <v>1998</v>
      </c>
      <c r="F522" t="s">
        <v>20</v>
      </c>
      <c r="G522">
        <v>3</v>
      </c>
      <c r="H522">
        <v>635.98</v>
      </c>
      <c r="I522" t="s">
        <v>1999</v>
      </c>
      <c r="J522" t="s">
        <v>72</v>
      </c>
      <c r="K522" t="s">
        <v>49</v>
      </c>
      <c r="L522" t="s">
        <v>2000</v>
      </c>
      <c r="M522">
        <v>5</v>
      </c>
      <c r="O522" t="s">
        <v>34</v>
      </c>
      <c r="P522">
        <v>1907.94</v>
      </c>
      <c r="Q522">
        <v>1907.94</v>
      </c>
      <c r="R522" t="str">
        <f>IF(OR(P522&lt;Outliers!$B$5, P522&gt;Outliers!$B$6), "outliers", "")</f>
        <v/>
      </c>
    </row>
    <row r="523" spans="1:18" x14ac:dyDescent="0.25">
      <c r="A523" t="s">
        <v>2001</v>
      </c>
      <c r="B523" s="1">
        <v>45347</v>
      </c>
      <c r="C523">
        <v>2024</v>
      </c>
      <c r="D523" t="s">
        <v>18</v>
      </c>
      <c r="E523" t="s">
        <v>2002</v>
      </c>
      <c r="F523" t="s">
        <v>30</v>
      </c>
      <c r="G523">
        <v>1</v>
      </c>
      <c r="H523">
        <v>528.05999999999995</v>
      </c>
      <c r="I523" t="s">
        <v>2003</v>
      </c>
      <c r="J523" t="s">
        <v>39</v>
      </c>
      <c r="K523" t="s">
        <v>23</v>
      </c>
      <c r="L523" t="s">
        <v>2004</v>
      </c>
      <c r="M523">
        <v>2</v>
      </c>
      <c r="O523" t="s">
        <v>51</v>
      </c>
      <c r="P523">
        <v>528.05999999999995</v>
      </c>
      <c r="Q523">
        <v>528.05999999999995</v>
      </c>
      <c r="R523" t="str">
        <f>IF(OR(P523&lt;Outliers!$B$5, P523&gt;Outliers!$B$6), "outliers", "")</f>
        <v/>
      </c>
    </row>
    <row r="524" spans="1:18" x14ac:dyDescent="0.25">
      <c r="A524" t="s">
        <v>2005</v>
      </c>
      <c r="B524" s="1">
        <v>45402</v>
      </c>
      <c r="C524">
        <v>2024</v>
      </c>
      <c r="D524" t="s">
        <v>53</v>
      </c>
      <c r="E524" t="s">
        <v>2006</v>
      </c>
      <c r="F524" t="s">
        <v>47</v>
      </c>
      <c r="G524">
        <v>1</v>
      </c>
      <c r="H524">
        <v>515.32000000000005</v>
      </c>
      <c r="I524" t="s">
        <v>1128</v>
      </c>
      <c r="J524" t="s">
        <v>67</v>
      </c>
      <c r="K524" t="s">
        <v>40</v>
      </c>
      <c r="L524" t="s">
        <v>2007</v>
      </c>
      <c r="M524">
        <v>1</v>
      </c>
      <c r="N524" t="s">
        <v>42</v>
      </c>
      <c r="O524" t="s">
        <v>43</v>
      </c>
      <c r="P524">
        <v>515.32000000000005</v>
      </c>
      <c r="Q524">
        <v>515.32000000000005</v>
      </c>
      <c r="R524" t="str">
        <f>IF(OR(P524&lt;Outliers!$B$5, P524&gt;Outliers!$B$6), "outliers", "")</f>
        <v/>
      </c>
    </row>
    <row r="525" spans="1:18" x14ac:dyDescent="0.25">
      <c r="A525" t="s">
        <v>2008</v>
      </c>
      <c r="B525" s="1">
        <v>45706</v>
      </c>
      <c r="C525">
        <v>2025</v>
      </c>
      <c r="D525" t="s">
        <v>18</v>
      </c>
      <c r="E525" t="s">
        <v>2009</v>
      </c>
      <c r="F525" t="s">
        <v>80</v>
      </c>
      <c r="G525">
        <v>4</v>
      </c>
      <c r="H525">
        <v>657.79</v>
      </c>
      <c r="I525" t="s">
        <v>1627</v>
      </c>
      <c r="J525" t="s">
        <v>39</v>
      </c>
      <c r="K525" t="s">
        <v>49</v>
      </c>
      <c r="L525" t="s">
        <v>2010</v>
      </c>
      <c r="M525">
        <v>6</v>
      </c>
      <c r="N525" t="s">
        <v>88</v>
      </c>
      <c r="O525" t="s">
        <v>83</v>
      </c>
      <c r="P525">
        <v>2631.16</v>
      </c>
      <c r="Q525">
        <v>2631.16</v>
      </c>
      <c r="R525" t="str">
        <f>IF(OR(P525&lt;Outliers!$B$5, P525&gt;Outliers!$B$6), "outliers", "")</f>
        <v/>
      </c>
    </row>
    <row r="526" spans="1:18" x14ac:dyDescent="0.25">
      <c r="A526" t="s">
        <v>2011</v>
      </c>
      <c r="B526" s="1">
        <v>45224</v>
      </c>
      <c r="C526">
        <v>2023</v>
      </c>
      <c r="D526" t="s">
        <v>45</v>
      </c>
      <c r="E526" t="s">
        <v>2012</v>
      </c>
      <c r="F526" t="s">
        <v>30</v>
      </c>
      <c r="G526">
        <v>1</v>
      </c>
      <c r="H526">
        <v>153</v>
      </c>
      <c r="I526" t="s">
        <v>358</v>
      </c>
      <c r="J526" t="s">
        <v>39</v>
      </c>
      <c r="K526" t="s">
        <v>49</v>
      </c>
      <c r="L526" t="s">
        <v>2013</v>
      </c>
      <c r="M526">
        <v>4</v>
      </c>
      <c r="O526" t="s">
        <v>34</v>
      </c>
      <c r="P526">
        <v>153</v>
      </c>
      <c r="Q526">
        <v>153</v>
      </c>
      <c r="R526" t="str">
        <f>IF(OR(P526&lt;Outliers!$B$5, P526&gt;Outliers!$B$6), "outliers", "")</f>
        <v/>
      </c>
    </row>
    <row r="527" spans="1:18" x14ac:dyDescent="0.25">
      <c r="A527" t="s">
        <v>2014</v>
      </c>
      <c r="B527" s="1">
        <v>45263</v>
      </c>
      <c r="C527">
        <v>2023</v>
      </c>
      <c r="D527" t="s">
        <v>45</v>
      </c>
      <c r="E527" t="s">
        <v>2015</v>
      </c>
      <c r="F527" t="s">
        <v>20</v>
      </c>
      <c r="G527">
        <v>1</v>
      </c>
      <c r="H527">
        <v>668.48</v>
      </c>
      <c r="I527" t="s">
        <v>1750</v>
      </c>
      <c r="J527" t="s">
        <v>22</v>
      </c>
      <c r="K527" t="s">
        <v>23</v>
      </c>
      <c r="L527" t="s">
        <v>2016</v>
      </c>
      <c r="M527">
        <v>1</v>
      </c>
      <c r="N527" t="s">
        <v>25</v>
      </c>
      <c r="O527" t="s">
        <v>43</v>
      </c>
      <c r="P527">
        <v>668.48</v>
      </c>
      <c r="Q527">
        <v>668.48</v>
      </c>
      <c r="R527" t="str">
        <f>IF(OR(P527&lt;Outliers!$B$5, P527&gt;Outliers!$B$6), "outliers", "")</f>
        <v/>
      </c>
    </row>
    <row r="528" spans="1:18" x14ac:dyDescent="0.25">
      <c r="A528" t="s">
        <v>2017</v>
      </c>
      <c r="B528" s="1">
        <v>45351</v>
      </c>
      <c r="C528">
        <v>2024</v>
      </c>
      <c r="D528" t="s">
        <v>18</v>
      </c>
      <c r="E528" t="s">
        <v>2018</v>
      </c>
      <c r="F528" t="s">
        <v>80</v>
      </c>
      <c r="G528">
        <v>2</v>
      </c>
      <c r="H528">
        <v>46.5</v>
      </c>
      <c r="I528" t="s">
        <v>414</v>
      </c>
      <c r="J528" t="s">
        <v>72</v>
      </c>
      <c r="K528" t="s">
        <v>49</v>
      </c>
      <c r="L528" t="s">
        <v>2019</v>
      </c>
      <c r="M528">
        <v>7</v>
      </c>
      <c r="N528" t="s">
        <v>88</v>
      </c>
      <c r="O528" t="s">
        <v>83</v>
      </c>
      <c r="P528">
        <v>93</v>
      </c>
      <c r="Q528">
        <v>93</v>
      </c>
      <c r="R528" t="str">
        <f>IF(OR(P528&lt;Outliers!$B$5, P528&gt;Outliers!$B$6), "outliers", "")</f>
        <v/>
      </c>
    </row>
    <row r="529" spans="1:18" x14ac:dyDescent="0.25">
      <c r="A529" t="s">
        <v>2020</v>
      </c>
      <c r="B529" s="1">
        <v>45523</v>
      </c>
      <c r="C529">
        <v>2024</v>
      </c>
      <c r="D529" t="s">
        <v>28</v>
      </c>
      <c r="E529" t="s">
        <v>2021</v>
      </c>
      <c r="F529" t="s">
        <v>47</v>
      </c>
      <c r="G529">
        <v>5</v>
      </c>
      <c r="H529">
        <v>653.47</v>
      </c>
      <c r="I529" t="s">
        <v>378</v>
      </c>
      <c r="J529" t="s">
        <v>39</v>
      </c>
      <c r="K529" t="s">
        <v>40</v>
      </c>
      <c r="L529" t="s">
        <v>2022</v>
      </c>
      <c r="M529">
        <v>10</v>
      </c>
      <c r="N529" t="s">
        <v>25</v>
      </c>
      <c r="O529" t="s">
        <v>34</v>
      </c>
      <c r="P529">
        <v>3267.35</v>
      </c>
      <c r="Q529">
        <v>3267.35</v>
      </c>
      <c r="R529" t="str">
        <f>IF(OR(P529&lt;Outliers!$B$5, P529&gt;Outliers!$B$6), "outliers", "")</f>
        <v/>
      </c>
    </row>
    <row r="530" spans="1:18" x14ac:dyDescent="0.25">
      <c r="A530" t="s">
        <v>2023</v>
      </c>
      <c r="B530" s="1">
        <v>45714</v>
      </c>
      <c r="C530">
        <v>2025</v>
      </c>
      <c r="D530" t="s">
        <v>18</v>
      </c>
      <c r="E530" t="s">
        <v>2024</v>
      </c>
      <c r="F530" t="s">
        <v>47</v>
      </c>
      <c r="G530">
        <v>1</v>
      </c>
      <c r="H530">
        <v>628.89</v>
      </c>
      <c r="I530" t="s">
        <v>1765</v>
      </c>
      <c r="J530" t="s">
        <v>39</v>
      </c>
      <c r="K530" t="s">
        <v>49</v>
      </c>
      <c r="L530" t="s">
        <v>2025</v>
      </c>
      <c r="M530">
        <v>2</v>
      </c>
      <c r="N530" t="s">
        <v>25</v>
      </c>
      <c r="O530" t="s">
        <v>34</v>
      </c>
      <c r="P530">
        <v>628.89</v>
      </c>
      <c r="Q530">
        <v>628.89</v>
      </c>
      <c r="R530" t="str">
        <f>IF(OR(P530&lt;Outliers!$B$5, P530&gt;Outliers!$B$6), "outliers", "")</f>
        <v/>
      </c>
    </row>
    <row r="531" spans="1:18" x14ac:dyDescent="0.25">
      <c r="A531" t="s">
        <v>2026</v>
      </c>
      <c r="B531" s="1">
        <v>45389</v>
      </c>
      <c r="C531">
        <v>2024</v>
      </c>
      <c r="D531" t="s">
        <v>53</v>
      </c>
      <c r="E531" t="s">
        <v>2027</v>
      </c>
      <c r="F531" t="s">
        <v>37</v>
      </c>
      <c r="G531">
        <v>2</v>
      </c>
      <c r="H531">
        <v>675.1</v>
      </c>
      <c r="I531" t="s">
        <v>2028</v>
      </c>
      <c r="J531" t="s">
        <v>72</v>
      </c>
      <c r="K531" t="s">
        <v>96</v>
      </c>
      <c r="L531" t="s">
        <v>2029</v>
      </c>
      <c r="M531">
        <v>4</v>
      </c>
      <c r="N531" t="s">
        <v>42</v>
      </c>
      <c r="O531" t="s">
        <v>83</v>
      </c>
      <c r="P531">
        <v>1350.2</v>
      </c>
      <c r="Q531">
        <v>1350.2</v>
      </c>
      <c r="R531" t="str">
        <f>IF(OR(P531&lt;Outliers!$B$5, P531&gt;Outliers!$B$6), "outliers", "")</f>
        <v/>
      </c>
    </row>
    <row r="532" spans="1:18" x14ac:dyDescent="0.25">
      <c r="A532" t="s">
        <v>2030</v>
      </c>
      <c r="B532" s="1">
        <v>45491</v>
      </c>
      <c r="C532">
        <v>2024</v>
      </c>
      <c r="D532" t="s">
        <v>28</v>
      </c>
      <c r="E532" t="s">
        <v>2031</v>
      </c>
      <c r="F532" t="s">
        <v>47</v>
      </c>
      <c r="G532">
        <v>4</v>
      </c>
      <c r="H532">
        <v>89.41</v>
      </c>
      <c r="I532" t="s">
        <v>2032</v>
      </c>
      <c r="J532" t="s">
        <v>32</v>
      </c>
      <c r="K532" t="s">
        <v>96</v>
      </c>
      <c r="L532" t="s">
        <v>2033</v>
      </c>
      <c r="M532">
        <v>9</v>
      </c>
      <c r="O532" t="s">
        <v>83</v>
      </c>
      <c r="P532">
        <v>357.64</v>
      </c>
      <c r="Q532">
        <v>357.64</v>
      </c>
      <c r="R532" t="str">
        <f>IF(OR(P532&lt;Outliers!$B$5, P532&gt;Outliers!$B$6), "outliers", "")</f>
        <v/>
      </c>
    </row>
    <row r="533" spans="1:18" x14ac:dyDescent="0.25">
      <c r="A533" t="s">
        <v>2034</v>
      </c>
      <c r="B533" s="1">
        <v>45475</v>
      </c>
      <c r="C533">
        <v>2024</v>
      </c>
      <c r="D533" t="s">
        <v>28</v>
      </c>
      <c r="E533" t="s">
        <v>2035</v>
      </c>
      <c r="F533" t="s">
        <v>80</v>
      </c>
      <c r="G533">
        <v>5</v>
      </c>
      <c r="H533">
        <v>320.01</v>
      </c>
      <c r="I533" t="s">
        <v>2036</v>
      </c>
      <c r="J533" t="s">
        <v>67</v>
      </c>
      <c r="K533" t="s">
        <v>57</v>
      </c>
      <c r="L533" t="s">
        <v>2037</v>
      </c>
      <c r="M533">
        <v>6</v>
      </c>
      <c r="O533" t="s">
        <v>34</v>
      </c>
      <c r="P533">
        <v>1600.05</v>
      </c>
      <c r="Q533">
        <v>1600.05</v>
      </c>
      <c r="R533" t="str">
        <f>IF(OR(P533&lt;Outliers!$B$5, P533&gt;Outliers!$B$6), "outliers", "")</f>
        <v/>
      </c>
    </row>
    <row r="534" spans="1:18" x14ac:dyDescent="0.25">
      <c r="A534" t="s">
        <v>2038</v>
      </c>
      <c r="B534" s="1">
        <v>45780</v>
      </c>
      <c r="C534">
        <v>2025</v>
      </c>
      <c r="D534" t="s">
        <v>53</v>
      </c>
      <c r="E534" t="s">
        <v>2039</v>
      </c>
      <c r="F534" t="s">
        <v>65</v>
      </c>
      <c r="G534">
        <v>2</v>
      </c>
      <c r="H534">
        <v>41</v>
      </c>
      <c r="I534" t="s">
        <v>2040</v>
      </c>
      <c r="J534" t="s">
        <v>32</v>
      </c>
      <c r="K534" t="s">
        <v>57</v>
      </c>
      <c r="L534" t="s">
        <v>2041</v>
      </c>
      <c r="M534">
        <v>7</v>
      </c>
      <c r="O534" t="s">
        <v>43</v>
      </c>
      <c r="P534">
        <v>82</v>
      </c>
      <c r="Q534">
        <v>82</v>
      </c>
      <c r="R534" t="str">
        <f>IF(OR(P534&lt;Outliers!$B$5, P534&gt;Outliers!$B$6), "outliers", "")</f>
        <v/>
      </c>
    </row>
    <row r="535" spans="1:18" x14ac:dyDescent="0.25">
      <c r="A535" t="s">
        <v>2042</v>
      </c>
      <c r="B535" s="1">
        <v>44990</v>
      </c>
      <c r="C535">
        <v>2023</v>
      </c>
      <c r="D535" t="s">
        <v>18</v>
      </c>
      <c r="E535" t="s">
        <v>2043</v>
      </c>
      <c r="F535" t="s">
        <v>80</v>
      </c>
      <c r="G535">
        <v>1</v>
      </c>
      <c r="H535">
        <v>565.85</v>
      </c>
      <c r="I535" t="s">
        <v>308</v>
      </c>
      <c r="J535" t="s">
        <v>67</v>
      </c>
      <c r="K535" t="s">
        <v>49</v>
      </c>
      <c r="L535" t="s">
        <v>2044</v>
      </c>
      <c r="M535">
        <v>1</v>
      </c>
      <c r="N535" t="s">
        <v>42</v>
      </c>
      <c r="O535" t="s">
        <v>51</v>
      </c>
      <c r="P535">
        <v>565.85</v>
      </c>
      <c r="Q535">
        <v>565.85</v>
      </c>
      <c r="R535" t="str">
        <f>IF(OR(P535&lt;Outliers!$B$5, P535&gt;Outliers!$B$6), "outliers", "")</f>
        <v/>
      </c>
    </row>
    <row r="536" spans="1:18" x14ac:dyDescent="0.25">
      <c r="A536" t="s">
        <v>2045</v>
      </c>
      <c r="B536" s="1">
        <v>45449</v>
      </c>
      <c r="C536">
        <v>2024</v>
      </c>
      <c r="D536" t="s">
        <v>53</v>
      </c>
      <c r="E536" t="s">
        <v>2046</v>
      </c>
      <c r="F536" t="s">
        <v>47</v>
      </c>
      <c r="G536">
        <v>3</v>
      </c>
      <c r="H536">
        <v>648.59</v>
      </c>
      <c r="I536" t="s">
        <v>2047</v>
      </c>
      <c r="J536" t="s">
        <v>22</v>
      </c>
      <c r="K536" t="s">
        <v>40</v>
      </c>
      <c r="L536" t="s">
        <v>2048</v>
      </c>
      <c r="M536">
        <v>4</v>
      </c>
      <c r="N536" t="s">
        <v>25</v>
      </c>
      <c r="O536" t="s">
        <v>43</v>
      </c>
      <c r="P536">
        <v>1945.77</v>
      </c>
      <c r="Q536">
        <v>1945.77</v>
      </c>
      <c r="R536" t="str">
        <f>IF(OR(P536&lt;Outliers!$B$5, P536&gt;Outliers!$B$6), "outliers", "")</f>
        <v/>
      </c>
    </row>
    <row r="537" spans="1:18" x14ac:dyDescent="0.25">
      <c r="A537" t="s">
        <v>2049</v>
      </c>
      <c r="B537" s="1">
        <v>45497</v>
      </c>
      <c r="C537">
        <v>2024</v>
      </c>
      <c r="D537" t="s">
        <v>28</v>
      </c>
      <c r="E537" t="s">
        <v>2050</v>
      </c>
      <c r="F537" t="s">
        <v>20</v>
      </c>
      <c r="G537">
        <v>3</v>
      </c>
      <c r="H537">
        <v>68.12</v>
      </c>
      <c r="I537" t="s">
        <v>730</v>
      </c>
      <c r="J537" t="s">
        <v>32</v>
      </c>
      <c r="K537" t="s">
        <v>40</v>
      </c>
      <c r="L537" t="s">
        <v>2051</v>
      </c>
      <c r="M537">
        <v>3</v>
      </c>
      <c r="N537" t="s">
        <v>42</v>
      </c>
      <c r="O537" t="s">
        <v>43</v>
      </c>
      <c r="P537">
        <v>204.36</v>
      </c>
      <c r="Q537">
        <v>204.36</v>
      </c>
      <c r="R537" t="str">
        <f>IF(OR(P537&lt;Outliers!$B$5, P537&gt;Outliers!$B$6), "outliers", "")</f>
        <v/>
      </c>
    </row>
    <row r="538" spans="1:18" x14ac:dyDescent="0.25">
      <c r="A538" t="s">
        <v>2052</v>
      </c>
      <c r="B538" s="1">
        <v>45452</v>
      </c>
      <c r="C538">
        <v>2024</v>
      </c>
      <c r="D538" t="s">
        <v>53</v>
      </c>
      <c r="E538" t="s">
        <v>2053</v>
      </c>
      <c r="F538" t="s">
        <v>47</v>
      </c>
      <c r="G538">
        <v>1</v>
      </c>
      <c r="H538">
        <v>616.1</v>
      </c>
      <c r="I538" t="s">
        <v>2054</v>
      </c>
      <c r="J538" t="s">
        <v>72</v>
      </c>
      <c r="K538" t="s">
        <v>49</v>
      </c>
      <c r="L538" t="s">
        <v>2055</v>
      </c>
      <c r="M538">
        <v>6</v>
      </c>
      <c r="O538" t="s">
        <v>43</v>
      </c>
      <c r="P538">
        <v>616.1</v>
      </c>
      <c r="Q538">
        <v>616.1</v>
      </c>
      <c r="R538" t="str">
        <f>IF(OR(P538&lt;Outliers!$B$5, P538&gt;Outliers!$B$6), "outliers", "")</f>
        <v/>
      </c>
    </row>
    <row r="539" spans="1:18" x14ac:dyDescent="0.25">
      <c r="A539" t="s">
        <v>2056</v>
      </c>
      <c r="B539" s="1">
        <v>45739</v>
      </c>
      <c r="C539">
        <v>2025</v>
      </c>
      <c r="D539" t="s">
        <v>18</v>
      </c>
      <c r="E539" t="s">
        <v>2057</v>
      </c>
      <c r="F539" t="s">
        <v>37</v>
      </c>
      <c r="G539">
        <v>3</v>
      </c>
      <c r="H539">
        <v>247.47</v>
      </c>
      <c r="I539" t="s">
        <v>304</v>
      </c>
      <c r="J539" t="s">
        <v>32</v>
      </c>
      <c r="K539" t="s">
        <v>57</v>
      </c>
      <c r="L539" t="s">
        <v>2058</v>
      </c>
      <c r="M539">
        <v>4</v>
      </c>
      <c r="N539" t="s">
        <v>25</v>
      </c>
      <c r="O539" t="s">
        <v>51</v>
      </c>
      <c r="P539">
        <v>742.41</v>
      </c>
      <c r="Q539">
        <v>742.41</v>
      </c>
      <c r="R539" t="str">
        <f>IF(OR(P539&lt;Outliers!$B$5, P539&gt;Outliers!$B$6), "outliers", "")</f>
        <v/>
      </c>
    </row>
    <row r="540" spans="1:18" x14ac:dyDescent="0.25">
      <c r="A540" t="s">
        <v>2059</v>
      </c>
      <c r="B540" s="1">
        <v>45436</v>
      </c>
      <c r="C540">
        <v>2024</v>
      </c>
      <c r="D540" t="s">
        <v>53</v>
      </c>
      <c r="E540" t="s">
        <v>2060</v>
      </c>
      <c r="F540" t="s">
        <v>30</v>
      </c>
      <c r="G540">
        <v>3</v>
      </c>
      <c r="H540">
        <v>490.74</v>
      </c>
      <c r="I540" t="s">
        <v>2061</v>
      </c>
      <c r="J540" t="s">
        <v>72</v>
      </c>
      <c r="K540" t="s">
        <v>23</v>
      </c>
      <c r="L540" t="s">
        <v>2062</v>
      </c>
      <c r="M540">
        <v>3</v>
      </c>
      <c r="N540" t="s">
        <v>88</v>
      </c>
      <c r="O540" t="s">
        <v>43</v>
      </c>
      <c r="P540">
        <v>1472.22</v>
      </c>
      <c r="Q540">
        <v>1472.22</v>
      </c>
      <c r="R540" t="str">
        <f>IF(OR(P540&lt;Outliers!$B$5, P540&gt;Outliers!$B$6), "outliers", "")</f>
        <v/>
      </c>
    </row>
    <row r="541" spans="1:18" x14ac:dyDescent="0.25">
      <c r="A541" t="s">
        <v>2063</v>
      </c>
      <c r="B541" s="1">
        <v>45706</v>
      </c>
      <c r="C541">
        <v>2025</v>
      </c>
      <c r="D541" t="s">
        <v>18</v>
      </c>
      <c r="E541" t="s">
        <v>2064</v>
      </c>
      <c r="F541" t="s">
        <v>80</v>
      </c>
      <c r="G541">
        <v>3</v>
      </c>
      <c r="H541">
        <v>531.72</v>
      </c>
      <c r="I541" t="s">
        <v>2065</v>
      </c>
      <c r="J541" t="s">
        <v>67</v>
      </c>
      <c r="K541" t="s">
        <v>57</v>
      </c>
      <c r="L541" t="s">
        <v>2066</v>
      </c>
      <c r="M541">
        <v>7</v>
      </c>
      <c r="N541" t="s">
        <v>25</v>
      </c>
      <c r="O541" t="s">
        <v>83</v>
      </c>
      <c r="P541">
        <v>1595.16</v>
      </c>
      <c r="Q541">
        <v>1595.16</v>
      </c>
      <c r="R541" t="str">
        <f>IF(OR(P541&lt;Outliers!$B$5, P541&gt;Outliers!$B$6), "outliers", "")</f>
        <v/>
      </c>
    </row>
    <row r="542" spans="1:18" x14ac:dyDescent="0.25">
      <c r="A542" t="s">
        <v>2067</v>
      </c>
      <c r="B542" s="1">
        <v>45320</v>
      </c>
      <c r="C542">
        <v>2024</v>
      </c>
      <c r="D542" t="s">
        <v>18</v>
      </c>
      <c r="E542" t="s">
        <v>2068</v>
      </c>
      <c r="F542" t="s">
        <v>65</v>
      </c>
      <c r="G542">
        <v>5</v>
      </c>
      <c r="H542">
        <v>648.65</v>
      </c>
      <c r="I542" t="s">
        <v>2069</v>
      </c>
      <c r="J542" t="s">
        <v>32</v>
      </c>
      <c r="K542" t="s">
        <v>96</v>
      </c>
      <c r="L542" t="s">
        <v>2070</v>
      </c>
      <c r="M542">
        <v>7</v>
      </c>
      <c r="O542" t="s">
        <v>34</v>
      </c>
      <c r="P542">
        <v>3243.25</v>
      </c>
      <c r="Q542">
        <v>3243.25</v>
      </c>
      <c r="R542" t="str">
        <f>IF(OR(P542&lt;Outliers!$B$5, P542&gt;Outliers!$B$6), "outliers", "")</f>
        <v/>
      </c>
    </row>
    <row r="543" spans="1:18" x14ac:dyDescent="0.25">
      <c r="A543" t="s">
        <v>2071</v>
      </c>
      <c r="B543" s="1">
        <v>45145</v>
      </c>
      <c r="C543">
        <v>2023</v>
      </c>
      <c r="D543" t="s">
        <v>28</v>
      </c>
      <c r="E543" t="s">
        <v>2072</v>
      </c>
      <c r="F543" t="s">
        <v>55</v>
      </c>
      <c r="G543">
        <v>5</v>
      </c>
      <c r="H543">
        <v>456.06</v>
      </c>
      <c r="I543" t="s">
        <v>2073</v>
      </c>
      <c r="J543" t="s">
        <v>72</v>
      </c>
      <c r="K543" t="s">
        <v>96</v>
      </c>
      <c r="L543" t="s">
        <v>2074</v>
      </c>
      <c r="M543">
        <v>10</v>
      </c>
      <c r="O543" t="s">
        <v>26</v>
      </c>
      <c r="P543">
        <v>2280.3000000000002</v>
      </c>
      <c r="Q543">
        <v>2280.3000000000002</v>
      </c>
      <c r="R543" t="str">
        <f>IF(OR(P543&lt;Outliers!$B$5, P543&gt;Outliers!$B$6), "outliers", "")</f>
        <v/>
      </c>
    </row>
    <row r="544" spans="1:18" x14ac:dyDescent="0.25">
      <c r="A544" t="s">
        <v>2075</v>
      </c>
      <c r="B544" s="1">
        <v>45244</v>
      </c>
      <c r="C544">
        <v>2023</v>
      </c>
      <c r="D544" t="s">
        <v>45</v>
      </c>
      <c r="E544" t="s">
        <v>2076</v>
      </c>
      <c r="F544" t="s">
        <v>37</v>
      </c>
      <c r="G544">
        <v>1</v>
      </c>
      <c r="H544">
        <v>17.98</v>
      </c>
      <c r="I544" t="s">
        <v>61</v>
      </c>
      <c r="J544" t="s">
        <v>72</v>
      </c>
      <c r="K544" t="s">
        <v>40</v>
      </c>
      <c r="L544" t="s">
        <v>2077</v>
      </c>
      <c r="M544">
        <v>6</v>
      </c>
      <c r="N544" t="s">
        <v>42</v>
      </c>
      <c r="O544" t="s">
        <v>43</v>
      </c>
      <c r="P544">
        <v>17.98</v>
      </c>
      <c r="Q544">
        <v>17.98</v>
      </c>
      <c r="R544" t="str">
        <f>IF(OR(P544&lt;Outliers!$B$5, P544&gt;Outliers!$B$6), "outliers", "")</f>
        <v/>
      </c>
    </row>
    <row r="545" spans="1:18" x14ac:dyDescent="0.25">
      <c r="A545" t="s">
        <v>2078</v>
      </c>
      <c r="B545" s="1">
        <v>45360</v>
      </c>
      <c r="C545">
        <v>2024</v>
      </c>
      <c r="D545" t="s">
        <v>18</v>
      </c>
      <c r="E545" t="s">
        <v>2079</v>
      </c>
      <c r="F545" t="s">
        <v>80</v>
      </c>
      <c r="G545">
        <v>5</v>
      </c>
      <c r="H545">
        <v>269.86</v>
      </c>
      <c r="I545" t="s">
        <v>738</v>
      </c>
      <c r="J545" t="s">
        <v>72</v>
      </c>
      <c r="K545" t="s">
        <v>23</v>
      </c>
      <c r="L545" t="s">
        <v>2080</v>
      </c>
      <c r="M545">
        <v>6</v>
      </c>
      <c r="N545" t="s">
        <v>88</v>
      </c>
      <c r="O545" t="s">
        <v>51</v>
      </c>
      <c r="P545">
        <v>1349.3</v>
      </c>
      <c r="Q545">
        <v>1349.3</v>
      </c>
      <c r="R545" t="str">
        <f>IF(OR(P545&lt;Outliers!$B$5, P545&gt;Outliers!$B$6), "outliers", "")</f>
        <v/>
      </c>
    </row>
    <row r="546" spans="1:18" x14ac:dyDescent="0.25">
      <c r="A546" t="s">
        <v>2081</v>
      </c>
      <c r="B546" s="1">
        <v>45361</v>
      </c>
      <c r="C546">
        <v>2024</v>
      </c>
      <c r="D546" t="s">
        <v>18</v>
      </c>
      <c r="E546" t="s">
        <v>2082</v>
      </c>
      <c r="F546" t="s">
        <v>55</v>
      </c>
      <c r="G546">
        <v>5</v>
      </c>
      <c r="H546">
        <v>31.96</v>
      </c>
      <c r="I546" t="s">
        <v>1522</v>
      </c>
      <c r="J546" t="s">
        <v>39</v>
      </c>
      <c r="K546" t="s">
        <v>49</v>
      </c>
      <c r="L546" t="s">
        <v>2083</v>
      </c>
      <c r="M546">
        <v>5</v>
      </c>
      <c r="N546" t="s">
        <v>42</v>
      </c>
      <c r="O546" t="s">
        <v>34</v>
      </c>
      <c r="P546">
        <v>159.80000000000001</v>
      </c>
      <c r="Q546">
        <v>159.80000000000001</v>
      </c>
      <c r="R546" t="str">
        <f>IF(OR(P546&lt;Outliers!$B$5, P546&gt;Outliers!$B$6), "outliers", "")</f>
        <v/>
      </c>
    </row>
    <row r="547" spans="1:18" x14ac:dyDescent="0.25">
      <c r="A547" t="s">
        <v>2084</v>
      </c>
      <c r="B547" s="1">
        <v>45279</v>
      </c>
      <c r="C547">
        <v>2023</v>
      </c>
      <c r="D547" t="s">
        <v>45</v>
      </c>
      <c r="E547" t="s">
        <v>2085</v>
      </c>
      <c r="F547" t="s">
        <v>20</v>
      </c>
      <c r="G547">
        <v>2</v>
      </c>
      <c r="H547">
        <v>98.47</v>
      </c>
      <c r="I547" t="s">
        <v>2086</v>
      </c>
      <c r="J547" t="s">
        <v>72</v>
      </c>
      <c r="K547" t="s">
        <v>49</v>
      </c>
      <c r="L547" t="s">
        <v>2087</v>
      </c>
      <c r="M547">
        <v>3</v>
      </c>
      <c r="O547" t="s">
        <v>26</v>
      </c>
      <c r="P547">
        <v>196.94</v>
      </c>
      <c r="Q547">
        <v>196.94</v>
      </c>
      <c r="R547" t="str">
        <f>IF(OR(P547&lt;Outliers!$B$5, P547&gt;Outliers!$B$6), "outliers", "")</f>
        <v/>
      </c>
    </row>
    <row r="548" spans="1:18" x14ac:dyDescent="0.25">
      <c r="A548" t="s">
        <v>2088</v>
      </c>
      <c r="B548" s="1">
        <v>45352</v>
      </c>
      <c r="C548">
        <v>2024</v>
      </c>
      <c r="D548" t="s">
        <v>18</v>
      </c>
      <c r="E548" t="s">
        <v>2089</v>
      </c>
      <c r="F548" t="s">
        <v>20</v>
      </c>
      <c r="G548">
        <v>1</v>
      </c>
      <c r="H548">
        <v>158.68</v>
      </c>
      <c r="I548" t="s">
        <v>21</v>
      </c>
      <c r="J548" t="s">
        <v>39</v>
      </c>
      <c r="K548" t="s">
        <v>49</v>
      </c>
      <c r="L548" t="s">
        <v>2090</v>
      </c>
      <c r="M548">
        <v>6</v>
      </c>
      <c r="N548" t="s">
        <v>88</v>
      </c>
      <c r="O548" t="s">
        <v>26</v>
      </c>
      <c r="P548">
        <v>158.68</v>
      </c>
      <c r="Q548">
        <v>158.68</v>
      </c>
      <c r="R548" t="str">
        <f>IF(OR(P548&lt;Outliers!$B$5, P548&gt;Outliers!$B$6), "outliers", "")</f>
        <v/>
      </c>
    </row>
    <row r="549" spans="1:18" x14ac:dyDescent="0.25">
      <c r="A549" t="s">
        <v>2091</v>
      </c>
      <c r="B549" s="1">
        <v>45158</v>
      </c>
      <c r="C549">
        <v>2023</v>
      </c>
      <c r="D549" t="s">
        <v>28</v>
      </c>
      <c r="E549" t="s">
        <v>2092</v>
      </c>
      <c r="F549" t="s">
        <v>30</v>
      </c>
      <c r="G549">
        <v>1</v>
      </c>
      <c r="H549">
        <v>613.98</v>
      </c>
      <c r="I549" t="s">
        <v>2093</v>
      </c>
      <c r="J549" t="s">
        <v>32</v>
      </c>
      <c r="K549" t="s">
        <v>57</v>
      </c>
      <c r="L549" t="s">
        <v>2094</v>
      </c>
      <c r="M549">
        <v>4</v>
      </c>
      <c r="N549" t="s">
        <v>42</v>
      </c>
      <c r="O549" t="s">
        <v>51</v>
      </c>
      <c r="P549">
        <v>613.98</v>
      </c>
      <c r="Q549">
        <v>613.98</v>
      </c>
      <c r="R549" t="str">
        <f>IF(OR(P549&lt;Outliers!$B$5, P549&gt;Outliers!$B$6), "outliers", "")</f>
        <v/>
      </c>
    </row>
    <row r="550" spans="1:18" x14ac:dyDescent="0.25">
      <c r="A550" t="s">
        <v>2095</v>
      </c>
      <c r="B550" s="1">
        <v>45296</v>
      </c>
      <c r="C550">
        <v>2024</v>
      </c>
      <c r="D550" t="s">
        <v>18</v>
      </c>
      <c r="E550" t="s">
        <v>2096</v>
      </c>
      <c r="F550" t="s">
        <v>55</v>
      </c>
      <c r="G550">
        <v>3</v>
      </c>
      <c r="H550">
        <v>426.12</v>
      </c>
      <c r="I550" t="s">
        <v>429</v>
      </c>
      <c r="J550" t="s">
        <v>32</v>
      </c>
      <c r="K550" t="s">
        <v>57</v>
      </c>
      <c r="L550" t="s">
        <v>2097</v>
      </c>
      <c r="M550">
        <v>5</v>
      </c>
      <c r="N550" t="s">
        <v>88</v>
      </c>
      <c r="O550" t="s">
        <v>26</v>
      </c>
      <c r="P550">
        <v>1278.3599999999999</v>
      </c>
      <c r="Q550">
        <v>1278.3599999999999</v>
      </c>
      <c r="R550" t="str">
        <f>IF(OR(P550&lt;Outliers!$B$5, P550&gt;Outliers!$B$6), "outliers", "")</f>
        <v/>
      </c>
    </row>
    <row r="551" spans="1:18" x14ac:dyDescent="0.25">
      <c r="A551" t="s">
        <v>2098</v>
      </c>
      <c r="B551" s="1">
        <v>45713</v>
      </c>
      <c r="C551">
        <v>2025</v>
      </c>
      <c r="D551" t="s">
        <v>18</v>
      </c>
      <c r="E551" t="s">
        <v>2099</v>
      </c>
      <c r="F551" t="s">
        <v>20</v>
      </c>
      <c r="G551">
        <v>4</v>
      </c>
      <c r="H551">
        <v>629.88</v>
      </c>
      <c r="I551" t="s">
        <v>2100</v>
      </c>
      <c r="J551" t="s">
        <v>22</v>
      </c>
      <c r="K551" t="s">
        <v>40</v>
      </c>
      <c r="L551" t="s">
        <v>2101</v>
      </c>
      <c r="M551">
        <v>8</v>
      </c>
      <c r="N551" t="s">
        <v>88</v>
      </c>
      <c r="O551" t="s">
        <v>26</v>
      </c>
      <c r="P551">
        <v>2519.52</v>
      </c>
      <c r="Q551">
        <v>2519.52</v>
      </c>
      <c r="R551" t="str">
        <f>IF(OR(P551&lt;Outliers!$B$5, P551&gt;Outliers!$B$6), "outliers", "")</f>
        <v/>
      </c>
    </row>
    <row r="552" spans="1:18" x14ac:dyDescent="0.25">
      <c r="A552" t="s">
        <v>2102</v>
      </c>
      <c r="B552" s="1">
        <v>45228</v>
      </c>
      <c r="C552">
        <v>2023</v>
      </c>
      <c r="D552" t="s">
        <v>45</v>
      </c>
      <c r="E552" t="s">
        <v>2103</v>
      </c>
      <c r="F552" t="s">
        <v>65</v>
      </c>
      <c r="G552">
        <v>4</v>
      </c>
      <c r="H552">
        <v>228.91</v>
      </c>
      <c r="I552" t="s">
        <v>606</v>
      </c>
      <c r="J552" t="s">
        <v>72</v>
      </c>
      <c r="K552" t="s">
        <v>23</v>
      </c>
      <c r="L552" t="s">
        <v>2104</v>
      </c>
      <c r="M552">
        <v>4</v>
      </c>
      <c r="N552" t="s">
        <v>42</v>
      </c>
      <c r="O552" t="s">
        <v>83</v>
      </c>
      <c r="P552">
        <v>915.64</v>
      </c>
      <c r="Q552">
        <v>915.64</v>
      </c>
      <c r="R552" t="str">
        <f>IF(OR(P552&lt;Outliers!$B$5, P552&gt;Outliers!$B$6), "outliers", "")</f>
        <v/>
      </c>
    </row>
    <row r="553" spans="1:18" x14ac:dyDescent="0.25">
      <c r="A553" t="s">
        <v>2105</v>
      </c>
      <c r="B553" s="1">
        <v>45064</v>
      </c>
      <c r="C553">
        <v>2023</v>
      </c>
      <c r="D553" t="s">
        <v>53</v>
      </c>
      <c r="E553" t="s">
        <v>2106</v>
      </c>
      <c r="F553" t="s">
        <v>65</v>
      </c>
      <c r="G553">
        <v>1</v>
      </c>
      <c r="H553">
        <v>120.98</v>
      </c>
      <c r="I553" t="s">
        <v>544</v>
      </c>
      <c r="J553" t="s">
        <v>22</v>
      </c>
      <c r="K553" t="s">
        <v>57</v>
      </c>
      <c r="L553" t="s">
        <v>2107</v>
      </c>
      <c r="M553">
        <v>6</v>
      </c>
      <c r="N553" t="s">
        <v>88</v>
      </c>
      <c r="O553" t="s">
        <v>43</v>
      </c>
      <c r="P553">
        <v>120.98</v>
      </c>
      <c r="Q553">
        <v>120.98</v>
      </c>
      <c r="R553" t="str">
        <f>IF(OR(P553&lt;Outliers!$B$5, P553&gt;Outliers!$B$6), "outliers", "")</f>
        <v/>
      </c>
    </row>
    <row r="554" spans="1:18" x14ac:dyDescent="0.25">
      <c r="A554" t="s">
        <v>2108</v>
      </c>
      <c r="B554" s="1">
        <v>45199</v>
      </c>
      <c r="C554">
        <v>2023</v>
      </c>
      <c r="D554" t="s">
        <v>28</v>
      </c>
      <c r="E554" t="s">
        <v>2109</v>
      </c>
      <c r="F554" t="s">
        <v>47</v>
      </c>
      <c r="G554">
        <v>4</v>
      </c>
      <c r="H554">
        <v>425.18</v>
      </c>
      <c r="I554" t="s">
        <v>1963</v>
      </c>
      <c r="J554" t="s">
        <v>32</v>
      </c>
      <c r="K554" t="s">
        <v>49</v>
      </c>
      <c r="L554" t="s">
        <v>2110</v>
      </c>
      <c r="M554">
        <v>8</v>
      </c>
      <c r="N554" t="s">
        <v>88</v>
      </c>
      <c r="O554" t="s">
        <v>51</v>
      </c>
      <c r="P554">
        <v>1700.72</v>
      </c>
      <c r="Q554">
        <v>1700.72</v>
      </c>
      <c r="R554" t="str">
        <f>IF(OR(P554&lt;Outliers!$B$5, P554&gt;Outliers!$B$6), "outliers", "")</f>
        <v/>
      </c>
    </row>
    <row r="555" spans="1:18" x14ac:dyDescent="0.25">
      <c r="A555" t="s">
        <v>2111</v>
      </c>
      <c r="B555" s="1">
        <v>45161</v>
      </c>
      <c r="C555">
        <v>2023</v>
      </c>
      <c r="D555" t="s">
        <v>28</v>
      </c>
      <c r="E555" t="s">
        <v>2112</v>
      </c>
      <c r="F555" t="s">
        <v>30</v>
      </c>
      <c r="G555">
        <v>2</v>
      </c>
      <c r="H555">
        <v>333.83</v>
      </c>
      <c r="I555" t="s">
        <v>2113</v>
      </c>
      <c r="J555" t="s">
        <v>67</v>
      </c>
      <c r="K555" t="s">
        <v>40</v>
      </c>
      <c r="L555" t="s">
        <v>2114</v>
      </c>
      <c r="M555">
        <v>4</v>
      </c>
      <c r="N555" t="s">
        <v>42</v>
      </c>
      <c r="O555" t="s">
        <v>34</v>
      </c>
      <c r="P555">
        <v>667.66</v>
      </c>
      <c r="Q555">
        <v>667.66</v>
      </c>
      <c r="R555" t="str">
        <f>IF(OR(P555&lt;Outliers!$B$5, P555&gt;Outliers!$B$6), "outliers", "")</f>
        <v/>
      </c>
    </row>
    <row r="556" spans="1:18" x14ac:dyDescent="0.25">
      <c r="A556" t="s">
        <v>2115</v>
      </c>
      <c r="B556" s="1">
        <v>45807</v>
      </c>
      <c r="C556">
        <v>2025</v>
      </c>
      <c r="D556" t="s">
        <v>53</v>
      </c>
      <c r="E556" t="s">
        <v>2116</v>
      </c>
      <c r="F556" t="s">
        <v>65</v>
      </c>
      <c r="G556">
        <v>2</v>
      </c>
      <c r="H556">
        <v>492.9</v>
      </c>
      <c r="I556" t="s">
        <v>944</v>
      </c>
      <c r="J556" t="s">
        <v>72</v>
      </c>
      <c r="K556" t="s">
        <v>49</v>
      </c>
      <c r="L556" t="s">
        <v>2117</v>
      </c>
      <c r="M556">
        <v>5</v>
      </c>
      <c r="N556" t="s">
        <v>42</v>
      </c>
      <c r="O556" t="s">
        <v>26</v>
      </c>
      <c r="P556">
        <v>985.8</v>
      </c>
      <c r="Q556">
        <v>985.8</v>
      </c>
      <c r="R556" t="str">
        <f>IF(OR(P556&lt;Outliers!$B$5, P556&gt;Outliers!$B$6), "outliers", "")</f>
        <v/>
      </c>
    </row>
    <row r="557" spans="1:18" x14ac:dyDescent="0.25">
      <c r="A557" t="s">
        <v>2118</v>
      </c>
      <c r="B557" s="1">
        <v>44933</v>
      </c>
      <c r="C557">
        <v>2023</v>
      </c>
      <c r="D557" t="s">
        <v>18</v>
      </c>
      <c r="E557" t="s">
        <v>2119</v>
      </c>
      <c r="F557" t="s">
        <v>37</v>
      </c>
      <c r="G557">
        <v>1</v>
      </c>
      <c r="H557">
        <v>92.04</v>
      </c>
      <c r="I557" t="s">
        <v>86</v>
      </c>
      <c r="J557" t="s">
        <v>72</v>
      </c>
      <c r="K557" t="s">
        <v>23</v>
      </c>
      <c r="L557" t="s">
        <v>2120</v>
      </c>
      <c r="M557">
        <v>2</v>
      </c>
      <c r="O557" t="s">
        <v>51</v>
      </c>
      <c r="P557">
        <v>92.04</v>
      </c>
      <c r="Q557">
        <v>92.04</v>
      </c>
      <c r="R557" t="str">
        <f>IF(OR(P557&lt;Outliers!$B$5, P557&gt;Outliers!$B$6), "outliers", "")</f>
        <v/>
      </c>
    </row>
    <row r="558" spans="1:18" x14ac:dyDescent="0.25">
      <c r="A558" t="s">
        <v>2121</v>
      </c>
      <c r="B558" s="1">
        <v>44954</v>
      </c>
      <c r="C558">
        <v>2023</v>
      </c>
      <c r="D558" t="s">
        <v>18</v>
      </c>
      <c r="E558" t="s">
        <v>2122</v>
      </c>
      <c r="F558" t="s">
        <v>65</v>
      </c>
      <c r="G558">
        <v>1</v>
      </c>
      <c r="H558">
        <v>654.27</v>
      </c>
      <c r="I558" t="s">
        <v>2123</v>
      </c>
      <c r="J558" t="s">
        <v>67</v>
      </c>
      <c r="K558" t="s">
        <v>96</v>
      </c>
      <c r="L558" t="s">
        <v>2124</v>
      </c>
      <c r="M558">
        <v>2</v>
      </c>
      <c r="N558" t="s">
        <v>25</v>
      </c>
      <c r="O558" t="s">
        <v>51</v>
      </c>
      <c r="P558">
        <v>654.27</v>
      </c>
      <c r="Q558">
        <v>654.27</v>
      </c>
      <c r="R558" t="str">
        <f>IF(OR(P558&lt;Outliers!$B$5, P558&gt;Outliers!$B$6), "outliers", "")</f>
        <v/>
      </c>
    </row>
    <row r="559" spans="1:18" x14ac:dyDescent="0.25">
      <c r="A559" t="s">
        <v>2125</v>
      </c>
      <c r="B559" s="1">
        <v>45106</v>
      </c>
      <c r="C559">
        <v>2023</v>
      </c>
      <c r="D559" t="s">
        <v>53</v>
      </c>
      <c r="E559" t="s">
        <v>2126</v>
      </c>
      <c r="F559" t="s">
        <v>37</v>
      </c>
      <c r="G559">
        <v>1</v>
      </c>
      <c r="H559">
        <v>56.2</v>
      </c>
      <c r="I559" t="s">
        <v>2127</v>
      </c>
      <c r="J559" t="s">
        <v>22</v>
      </c>
      <c r="K559" t="s">
        <v>96</v>
      </c>
      <c r="L559" t="s">
        <v>2128</v>
      </c>
      <c r="M559">
        <v>1</v>
      </c>
      <c r="N559" t="s">
        <v>88</v>
      </c>
      <c r="O559" t="s">
        <v>51</v>
      </c>
      <c r="P559">
        <v>56.2</v>
      </c>
      <c r="Q559">
        <v>56.2</v>
      </c>
      <c r="R559" t="str">
        <f>IF(OR(P559&lt;Outliers!$B$5, P559&gt;Outliers!$B$6), "outliers", "")</f>
        <v/>
      </c>
    </row>
    <row r="560" spans="1:18" x14ac:dyDescent="0.25">
      <c r="A560" t="s">
        <v>2129</v>
      </c>
      <c r="B560" s="1">
        <v>45489</v>
      </c>
      <c r="C560">
        <v>2024</v>
      </c>
      <c r="D560" t="s">
        <v>28</v>
      </c>
      <c r="E560" t="s">
        <v>2130</v>
      </c>
      <c r="F560" t="s">
        <v>30</v>
      </c>
      <c r="G560">
        <v>4</v>
      </c>
      <c r="H560">
        <v>628.12</v>
      </c>
      <c r="I560" t="s">
        <v>2131</v>
      </c>
      <c r="J560" t="s">
        <v>32</v>
      </c>
      <c r="K560" t="s">
        <v>57</v>
      </c>
      <c r="L560" t="s">
        <v>2132</v>
      </c>
      <c r="M560">
        <v>6</v>
      </c>
      <c r="N560" t="s">
        <v>88</v>
      </c>
      <c r="O560" t="s">
        <v>26</v>
      </c>
      <c r="P560">
        <v>2512.48</v>
      </c>
      <c r="Q560">
        <v>2512.48</v>
      </c>
      <c r="R560" t="str">
        <f>IF(OR(P560&lt;Outliers!$B$5, P560&gt;Outliers!$B$6), "outliers", "")</f>
        <v/>
      </c>
    </row>
    <row r="561" spans="1:18" x14ac:dyDescent="0.25">
      <c r="A561" t="s">
        <v>2133</v>
      </c>
      <c r="B561" s="1">
        <v>45397</v>
      </c>
      <c r="C561">
        <v>2024</v>
      </c>
      <c r="D561" t="s">
        <v>53</v>
      </c>
      <c r="E561" t="s">
        <v>2134</v>
      </c>
      <c r="F561" t="s">
        <v>80</v>
      </c>
      <c r="G561">
        <v>3</v>
      </c>
      <c r="H561">
        <v>157.4</v>
      </c>
      <c r="I561" t="s">
        <v>1919</v>
      </c>
      <c r="J561" t="s">
        <v>22</v>
      </c>
      <c r="K561" t="s">
        <v>40</v>
      </c>
      <c r="L561" t="s">
        <v>2135</v>
      </c>
      <c r="M561">
        <v>7</v>
      </c>
      <c r="N561" t="s">
        <v>88</v>
      </c>
      <c r="O561" t="s">
        <v>43</v>
      </c>
      <c r="P561">
        <v>472.2</v>
      </c>
      <c r="Q561">
        <v>472.2</v>
      </c>
      <c r="R561" t="str">
        <f>IF(OR(P561&lt;Outliers!$B$5, P561&gt;Outliers!$B$6), "outliers", "")</f>
        <v/>
      </c>
    </row>
    <row r="562" spans="1:18" x14ac:dyDescent="0.25">
      <c r="A562" t="s">
        <v>2136</v>
      </c>
      <c r="B562" s="1">
        <v>44957</v>
      </c>
      <c r="C562">
        <v>2023</v>
      </c>
      <c r="D562" t="s">
        <v>18</v>
      </c>
      <c r="E562" t="s">
        <v>2137</v>
      </c>
      <c r="F562" t="s">
        <v>20</v>
      </c>
      <c r="G562">
        <v>4</v>
      </c>
      <c r="H562">
        <v>588.85</v>
      </c>
      <c r="I562" t="s">
        <v>2138</v>
      </c>
      <c r="J562" t="s">
        <v>67</v>
      </c>
      <c r="K562" t="s">
        <v>96</v>
      </c>
      <c r="L562" t="s">
        <v>2139</v>
      </c>
      <c r="M562">
        <v>7</v>
      </c>
      <c r="O562" t="s">
        <v>43</v>
      </c>
      <c r="P562">
        <v>2355.4</v>
      </c>
      <c r="Q562">
        <v>2355.4</v>
      </c>
      <c r="R562" t="str">
        <f>IF(OR(P562&lt;Outliers!$B$5, P562&gt;Outliers!$B$6), "outliers", "")</f>
        <v/>
      </c>
    </row>
    <row r="563" spans="1:18" x14ac:dyDescent="0.25">
      <c r="A563" t="s">
        <v>2140</v>
      </c>
      <c r="B563" s="1">
        <v>44957</v>
      </c>
      <c r="C563">
        <v>2023</v>
      </c>
      <c r="D563" t="s">
        <v>18</v>
      </c>
      <c r="E563" t="s">
        <v>2141</v>
      </c>
      <c r="F563" t="s">
        <v>55</v>
      </c>
      <c r="G563">
        <v>2</v>
      </c>
      <c r="H563">
        <v>494.78</v>
      </c>
      <c r="I563" t="s">
        <v>2142</v>
      </c>
      <c r="J563" t="s">
        <v>32</v>
      </c>
      <c r="K563" t="s">
        <v>23</v>
      </c>
      <c r="L563" t="s">
        <v>2143</v>
      </c>
      <c r="M563">
        <v>2</v>
      </c>
      <c r="O563" t="s">
        <v>83</v>
      </c>
      <c r="P563">
        <v>989.56</v>
      </c>
      <c r="Q563">
        <v>989.56</v>
      </c>
      <c r="R563" t="str">
        <f>IF(OR(P563&lt;Outliers!$B$5, P563&gt;Outliers!$B$6), "outliers", "")</f>
        <v/>
      </c>
    </row>
    <row r="564" spans="1:18" x14ac:dyDescent="0.25">
      <c r="A564" t="s">
        <v>2144</v>
      </c>
      <c r="B564" s="1">
        <v>45205</v>
      </c>
      <c r="C564">
        <v>2023</v>
      </c>
      <c r="D564" t="s">
        <v>45</v>
      </c>
      <c r="E564" t="s">
        <v>2145</v>
      </c>
      <c r="F564" t="s">
        <v>65</v>
      </c>
      <c r="G564">
        <v>3</v>
      </c>
      <c r="H564">
        <v>663.93</v>
      </c>
      <c r="I564" t="s">
        <v>429</v>
      </c>
      <c r="J564" t="s">
        <v>67</v>
      </c>
      <c r="K564" t="s">
        <v>49</v>
      </c>
      <c r="L564" t="s">
        <v>2146</v>
      </c>
      <c r="M564">
        <v>6</v>
      </c>
      <c r="N564" t="s">
        <v>42</v>
      </c>
      <c r="O564" t="s">
        <v>43</v>
      </c>
      <c r="P564">
        <v>1991.79</v>
      </c>
      <c r="Q564">
        <v>1991.79</v>
      </c>
      <c r="R564" t="str">
        <f>IF(OR(P564&lt;Outliers!$B$5, P564&gt;Outliers!$B$6), "outliers", "")</f>
        <v/>
      </c>
    </row>
    <row r="565" spans="1:18" x14ac:dyDescent="0.25">
      <c r="A565" t="s">
        <v>2147</v>
      </c>
      <c r="B565" s="1">
        <v>45272</v>
      </c>
      <c r="C565">
        <v>2023</v>
      </c>
      <c r="D565" t="s">
        <v>45</v>
      </c>
      <c r="E565" t="s">
        <v>2148</v>
      </c>
      <c r="F565" t="s">
        <v>65</v>
      </c>
      <c r="G565">
        <v>1</v>
      </c>
      <c r="H565">
        <v>132.68</v>
      </c>
      <c r="I565" t="s">
        <v>2149</v>
      </c>
      <c r="J565" t="s">
        <v>22</v>
      </c>
      <c r="K565" t="s">
        <v>49</v>
      </c>
      <c r="L565" t="s">
        <v>2150</v>
      </c>
      <c r="M565">
        <v>1</v>
      </c>
      <c r="N565" t="s">
        <v>25</v>
      </c>
      <c r="O565" t="s">
        <v>34</v>
      </c>
      <c r="P565">
        <v>132.68</v>
      </c>
      <c r="Q565">
        <v>132.68</v>
      </c>
      <c r="R565" t="str">
        <f>IF(OR(P565&lt;Outliers!$B$5, P565&gt;Outliers!$B$6), "outliers", "")</f>
        <v/>
      </c>
    </row>
    <row r="566" spans="1:18" x14ac:dyDescent="0.25">
      <c r="A566" t="s">
        <v>2151</v>
      </c>
      <c r="B566" s="1">
        <v>45755</v>
      </c>
      <c r="C566">
        <v>2025</v>
      </c>
      <c r="D566" t="s">
        <v>53</v>
      </c>
      <c r="E566" t="s">
        <v>2152</v>
      </c>
      <c r="F566" t="s">
        <v>80</v>
      </c>
      <c r="G566">
        <v>5</v>
      </c>
      <c r="H566">
        <v>364.28</v>
      </c>
      <c r="I566" t="s">
        <v>2153</v>
      </c>
      <c r="J566" t="s">
        <v>39</v>
      </c>
      <c r="K566" t="s">
        <v>40</v>
      </c>
      <c r="L566" t="s">
        <v>2154</v>
      </c>
      <c r="M566">
        <v>5</v>
      </c>
      <c r="N566" t="s">
        <v>88</v>
      </c>
      <c r="O566" t="s">
        <v>83</v>
      </c>
      <c r="P566">
        <v>1821.4</v>
      </c>
      <c r="Q566">
        <v>1821.4</v>
      </c>
      <c r="R566" t="str">
        <f>IF(OR(P566&lt;Outliers!$B$5, P566&gt;Outliers!$B$6), "outliers", "")</f>
        <v/>
      </c>
    </row>
    <row r="567" spans="1:18" x14ac:dyDescent="0.25">
      <c r="A567" t="s">
        <v>2155</v>
      </c>
      <c r="B567" s="1">
        <v>45060</v>
      </c>
      <c r="C567">
        <v>2023</v>
      </c>
      <c r="D567" t="s">
        <v>53</v>
      </c>
      <c r="E567" t="s">
        <v>2156</v>
      </c>
      <c r="F567" t="s">
        <v>37</v>
      </c>
      <c r="G567">
        <v>5</v>
      </c>
      <c r="H567">
        <v>307.98</v>
      </c>
      <c r="I567" t="s">
        <v>1797</v>
      </c>
      <c r="J567" t="s">
        <v>32</v>
      </c>
      <c r="K567" t="s">
        <v>96</v>
      </c>
      <c r="L567" t="s">
        <v>2157</v>
      </c>
      <c r="M567">
        <v>10</v>
      </c>
      <c r="O567" t="s">
        <v>51</v>
      </c>
      <c r="P567">
        <v>1539.9</v>
      </c>
      <c r="Q567">
        <v>1539.9</v>
      </c>
      <c r="R567" t="str">
        <f>IF(OR(P567&lt;Outliers!$B$5, P567&gt;Outliers!$B$6), "outliers", "")</f>
        <v/>
      </c>
    </row>
    <row r="568" spans="1:18" x14ac:dyDescent="0.25">
      <c r="A568" t="s">
        <v>2158</v>
      </c>
      <c r="B568" s="1">
        <v>45400</v>
      </c>
      <c r="C568">
        <v>2024</v>
      </c>
      <c r="D568" t="s">
        <v>53</v>
      </c>
      <c r="E568" t="s">
        <v>2159</v>
      </c>
      <c r="F568" t="s">
        <v>30</v>
      </c>
      <c r="G568">
        <v>4</v>
      </c>
      <c r="H568">
        <v>162.71</v>
      </c>
      <c r="I568" t="s">
        <v>2160</v>
      </c>
      <c r="J568" t="s">
        <v>72</v>
      </c>
      <c r="K568" t="s">
        <v>40</v>
      </c>
      <c r="L568" t="s">
        <v>2161</v>
      </c>
      <c r="M568">
        <v>7</v>
      </c>
      <c r="N568" t="s">
        <v>42</v>
      </c>
      <c r="O568" t="s">
        <v>43</v>
      </c>
      <c r="P568">
        <v>650.84</v>
      </c>
      <c r="Q568">
        <v>650.84</v>
      </c>
      <c r="R568" t="str">
        <f>IF(OR(P568&lt;Outliers!$B$5, P568&gt;Outliers!$B$6), "outliers", "")</f>
        <v/>
      </c>
    </row>
    <row r="569" spans="1:18" x14ac:dyDescent="0.25">
      <c r="A569" t="s">
        <v>2162</v>
      </c>
      <c r="B569" s="1">
        <v>45565</v>
      </c>
      <c r="C569">
        <v>2024</v>
      </c>
      <c r="D569" t="s">
        <v>28</v>
      </c>
      <c r="E569" t="s">
        <v>2163</v>
      </c>
      <c r="F569" t="s">
        <v>47</v>
      </c>
      <c r="G569">
        <v>5</v>
      </c>
      <c r="H569">
        <v>492.94</v>
      </c>
      <c r="I569" t="s">
        <v>1050</v>
      </c>
      <c r="J569" t="s">
        <v>72</v>
      </c>
      <c r="K569" t="s">
        <v>23</v>
      </c>
      <c r="L569" t="s">
        <v>2164</v>
      </c>
      <c r="M569">
        <v>10</v>
      </c>
      <c r="N569" t="s">
        <v>42</v>
      </c>
      <c r="O569" t="s">
        <v>43</v>
      </c>
      <c r="P569">
        <v>2464.6999999999998</v>
      </c>
      <c r="Q569">
        <v>2464.6999999999998</v>
      </c>
      <c r="R569" t="str">
        <f>IF(OR(P569&lt;Outliers!$B$5, P569&gt;Outliers!$B$6), "outliers", "")</f>
        <v/>
      </c>
    </row>
    <row r="570" spans="1:18" x14ac:dyDescent="0.25">
      <c r="A570" t="s">
        <v>2165</v>
      </c>
      <c r="B570" s="1">
        <v>44995</v>
      </c>
      <c r="C570">
        <v>2023</v>
      </c>
      <c r="D570" t="s">
        <v>18</v>
      </c>
      <c r="E570" t="s">
        <v>2166</v>
      </c>
      <c r="F570" t="s">
        <v>65</v>
      </c>
      <c r="G570">
        <v>2</v>
      </c>
      <c r="H570">
        <v>343.99</v>
      </c>
      <c r="I570" t="s">
        <v>1438</v>
      </c>
      <c r="J570" t="s">
        <v>32</v>
      </c>
      <c r="K570" t="s">
        <v>57</v>
      </c>
      <c r="L570" t="s">
        <v>2167</v>
      </c>
      <c r="M570">
        <v>4</v>
      </c>
      <c r="O570" t="s">
        <v>83</v>
      </c>
      <c r="P570">
        <v>687.98</v>
      </c>
      <c r="Q570">
        <v>687.98</v>
      </c>
      <c r="R570" t="str">
        <f>IF(OR(P570&lt;Outliers!$B$5, P570&gt;Outliers!$B$6), "outliers", "")</f>
        <v/>
      </c>
    </row>
    <row r="571" spans="1:18" x14ac:dyDescent="0.25">
      <c r="A571" t="s">
        <v>2168</v>
      </c>
      <c r="B571" s="1">
        <v>45738</v>
      </c>
      <c r="C571">
        <v>2025</v>
      </c>
      <c r="D571" t="s">
        <v>18</v>
      </c>
      <c r="E571" t="s">
        <v>2169</v>
      </c>
      <c r="F571" t="s">
        <v>80</v>
      </c>
      <c r="G571">
        <v>5</v>
      </c>
      <c r="H571">
        <v>250.68</v>
      </c>
      <c r="I571" t="s">
        <v>1822</v>
      </c>
      <c r="J571" t="s">
        <v>72</v>
      </c>
      <c r="K571" t="s">
        <v>23</v>
      </c>
      <c r="L571" t="s">
        <v>2170</v>
      </c>
      <c r="M571">
        <v>8</v>
      </c>
      <c r="N571" t="s">
        <v>25</v>
      </c>
      <c r="O571" t="s">
        <v>26</v>
      </c>
      <c r="P571">
        <v>1253.4000000000001</v>
      </c>
      <c r="Q571">
        <v>1253.4000000000001</v>
      </c>
      <c r="R571" t="str">
        <f>IF(OR(P571&lt;Outliers!$B$5, P571&gt;Outliers!$B$6), "outliers", "")</f>
        <v/>
      </c>
    </row>
    <row r="572" spans="1:18" x14ac:dyDescent="0.25">
      <c r="A572" t="s">
        <v>2171</v>
      </c>
      <c r="B572" s="1">
        <v>45653</v>
      </c>
      <c r="C572">
        <v>2024</v>
      </c>
      <c r="D572" t="s">
        <v>45</v>
      </c>
      <c r="E572" t="s">
        <v>2172</v>
      </c>
      <c r="F572" t="s">
        <v>80</v>
      </c>
      <c r="G572">
        <v>2</v>
      </c>
      <c r="H572">
        <v>362.14</v>
      </c>
      <c r="I572" t="s">
        <v>501</v>
      </c>
      <c r="J572" t="s">
        <v>22</v>
      </c>
      <c r="K572" t="s">
        <v>96</v>
      </c>
      <c r="L572" t="s">
        <v>2173</v>
      </c>
      <c r="M572">
        <v>2</v>
      </c>
      <c r="N572" t="s">
        <v>25</v>
      </c>
      <c r="O572" t="s">
        <v>26</v>
      </c>
      <c r="P572">
        <v>724.28</v>
      </c>
      <c r="Q572">
        <v>724.28</v>
      </c>
      <c r="R572" t="str">
        <f>IF(OR(P572&lt;Outliers!$B$5, P572&gt;Outliers!$B$6), "outliers", "")</f>
        <v/>
      </c>
    </row>
    <row r="573" spans="1:18" x14ac:dyDescent="0.25">
      <c r="A573" t="s">
        <v>2174</v>
      </c>
      <c r="B573" s="1">
        <v>45619</v>
      </c>
      <c r="C573">
        <v>2024</v>
      </c>
      <c r="D573" t="s">
        <v>45</v>
      </c>
      <c r="E573" t="s">
        <v>2175</v>
      </c>
      <c r="F573" t="s">
        <v>37</v>
      </c>
      <c r="G573">
        <v>1</v>
      </c>
      <c r="H573">
        <v>214.08</v>
      </c>
      <c r="I573" t="s">
        <v>1845</v>
      </c>
      <c r="J573" t="s">
        <v>67</v>
      </c>
      <c r="K573" t="s">
        <v>49</v>
      </c>
      <c r="L573" t="s">
        <v>2176</v>
      </c>
      <c r="M573">
        <v>2</v>
      </c>
      <c r="N573" t="s">
        <v>88</v>
      </c>
      <c r="O573" t="s">
        <v>83</v>
      </c>
      <c r="P573">
        <v>214.08</v>
      </c>
      <c r="Q573">
        <v>214.08</v>
      </c>
      <c r="R573" t="str">
        <f>IF(OR(P573&lt;Outliers!$B$5, P573&gt;Outliers!$B$6), "outliers", "")</f>
        <v/>
      </c>
    </row>
    <row r="574" spans="1:18" x14ac:dyDescent="0.25">
      <c r="A574" t="s">
        <v>2177</v>
      </c>
      <c r="B574" s="1">
        <v>45241</v>
      </c>
      <c r="C574">
        <v>2023</v>
      </c>
      <c r="D574" t="s">
        <v>45</v>
      </c>
      <c r="E574" t="s">
        <v>2178</v>
      </c>
      <c r="F574" t="s">
        <v>55</v>
      </c>
      <c r="G574">
        <v>1</v>
      </c>
      <c r="H574">
        <v>70.319999999999993</v>
      </c>
      <c r="I574" t="s">
        <v>1488</v>
      </c>
      <c r="J574" t="s">
        <v>72</v>
      </c>
      <c r="K574" t="s">
        <v>49</v>
      </c>
      <c r="L574" t="s">
        <v>2179</v>
      </c>
      <c r="M574">
        <v>4</v>
      </c>
      <c r="N574" t="s">
        <v>88</v>
      </c>
      <c r="O574" t="s">
        <v>51</v>
      </c>
      <c r="P574">
        <v>70.319999999999993</v>
      </c>
      <c r="Q574">
        <v>70.319999999999993</v>
      </c>
      <c r="R574" t="str">
        <f>IF(OR(P574&lt;Outliers!$B$5, P574&gt;Outliers!$B$6), "outliers", "")</f>
        <v/>
      </c>
    </row>
    <row r="575" spans="1:18" x14ac:dyDescent="0.25">
      <c r="A575" t="s">
        <v>2180</v>
      </c>
      <c r="B575" s="1">
        <v>44951</v>
      </c>
      <c r="C575">
        <v>2023</v>
      </c>
      <c r="D575" t="s">
        <v>18</v>
      </c>
      <c r="E575" t="s">
        <v>2181</v>
      </c>
      <c r="F575" t="s">
        <v>47</v>
      </c>
      <c r="G575">
        <v>5</v>
      </c>
      <c r="H575">
        <v>421.42</v>
      </c>
      <c r="I575" t="s">
        <v>473</v>
      </c>
      <c r="J575" t="s">
        <v>22</v>
      </c>
      <c r="K575" t="s">
        <v>40</v>
      </c>
      <c r="L575" t="s">
        <v>2182</v>
      </c>
      <c r="M575">
        <v>7</v>
      </c>
      <c r="O575" t="s">
        <v>26</v>
      </c>
      <c r="P575">
        <v>2107.1</v>
      </c>
      <c r="Q575">
        <v>2107.1</v>
      </c>
      <c r="R575" t="str">
        <f>IF(OR(P575&lt;Outliers!$B$5, P575&gt;Outliers!$B$6), "outliers", "")</f>
        <v/>
      </c>
    </row>
    <row r="576" spans="1:18" x14ac:dyDescent="0.25">
      <c r="A576" t="s">
        <v>2183</v>
      </c>
      <c r="B576" s="1">
        <v>45315</v>
      </c>
      <c r="C576">
        <v>2024</v>
      </c>
      <c r="D576" t="s">
        <v>18</v>
      </c>
      <c r="E576" t="s">
        <v>2184</v>
      </c>
      <c r="F576" t="s">
        <v>47</v>
      </c>
      <c r="G576">
        <v>5</v>
      </c>
      <c r="H576">
        <v>384.69</v>
      </c>
      <c r="I576" t="s">
        <v>48</v>
      </c>
      <c r="J576" t="s">
        <v>39</v>
      </c>
      <c r="K576" t="s">
        <v>96</v>
      </c>
      <c r="L576" t="s">
        <v>2185</v>
      </c>
      <c r="M576">
        <v>6</v>
      </c>
      <c r="N576" t="s">
        <v>42</v>
      </c>
      <c r="O576" t="s">
        <v>43</v>
      </c>
      <c r="P576">
        <v>1923.45</v>
      </c>
      <c r="Q576">
        <v>1923.45</v>
      </c>
      <c r="R576" t="str">
        <f>IF(OR(P576&lt;Outliers!$B$5, P576&gt;Outliers!$B$6), "outliers", "")</f>
        <v/>
      </c>
    </row>
    <row r="577" spans="1:18" x14ac:dyDescent="0.25">
      <c r="A577" t="s">
        <v>2186</v>
      </c>
      <c r="B577" s="1">
        <v>45084</v>
      </c>
      <c r="C577">
        <v>2023</v>
      </c>
      <c r="D577" t="s">
        <v>53</v>
      </c>
      <c r="E577" t="s">
        <v>2187</v>
      </c>
      <c r="F577" t="s">
        <v>47</v>
      </c>
      <c r="G577">
        <v>5</v>
      </c>
      <c r="H577">
        <v>448.15</v>
      </c>
      <c r="I577" t="s">
        <v>2188</v>
      </c>
      <c r="J577" t="s">
        <v>67</v>
      </c>
      <c r="K577" t="s">
        <v>49</v>
      </c>
      <c r="L577" t="s">
        <v>2189</v>
      </c>
      <c r="M577">
        <v>7</v>
      </c>
      <c r="N577" t="s">
        <v>25</v>
      </c>
      <c r="O577" t="s">
        <v>83</v>
      </c>
      <c r="P577">
        <v>2240.75</v>
      </c>
      <c r="Q577">
        <v>2240.75</v>
      </c>
      <c r="R577" t="str">
        <f>IF(OR(P577&lt;Outliers!$B$5, P577&gt;Outliers!$B$6), "outliers", "")</f>
        <v/>
      </c>
    </row>
    <row r="578" spans="1:18" x14ac:dyDescent="0.25">
      <c r="A578" t="s">
        <v>2190</v>
      </c>
      <c r="B578" s="1">
        <v>45441</v>
      </c>
      <c r="C578">
        <v>2024</v>
      </c>
      <c r="D578" t="s">
        <v>53</v>
      </c>
      <c r="E578" t="s">
        <v>2191</v>
      </c>
      <c r="F578" t="s">
        <v>65</v>
      </c>
      <c r="G578">
        <v>5</v>
      </c>
      <c r="H578">
        <v>79.08</v>
      </c>
      <c r="I578" t="s">
        <v>1422</v>
      </c>
      <c r="J578" t="s">
        <v>72</v>
      </c>
      <c r="K578" t="s">
        <v>96</v>
      </c>
      <c r="L578" t="s">
        <v>2192</v>
      </c>
      <c r="M578">
        <v>8</v>
      </c>
      <c r="O578" t="s">
        <v>51</v>
      </c>
      <c r="P578">
        <v>395.4</v>
      </c>
      <c r="Q578">
        <v>395.4</v>
      </c>
      <c r="R578" t="str">
        <f>IF(OR(P578&lt;Outliers!$B$5, P578&gt;Outliers!$B$6), "outliers", "")</f>
        <v/>
      </c>
    </row>
    <row r="579" spans="1:18" x14ac:dyDescent="0.25">
      <c r="A579" t="s">
        <v>2193</v>
      </c>
      <c r="B579" s="1">
        <v>44948</v>
      </c>
      <c r="C579">
        <v>2023</v>
      </c>
      <c r="D579" t="s">
        <v>18</v>
      </c>
      <c r="E579" t="s">
        <v>2194</v>
      </c>
      <c r="F579" t="s">
        <v>37</v>
      </c>
      <c r="G579">
        <v>4</v>
      </c>
      <c r="H579">
        <v>185.41</v>
      </c>
      <c r="I579" t="s">
        <v>378</v>
      </c>
      <c r="J579" t="s">
        <v>32</v>
      </c>
      <c r="K579" t="s">
        <v>49</v>
      </c>
      <c r="L579" t="s">
        <v>2195</v>
      </c>
      <c r="M579">
        <v>9</v>
      </c>
      <c r="N579" t="s">
        <v>88</v>
      </c>
      <c r="O579" t="s">
        <v>83</v>
      </c>
      <c r="P579">
        <v>741.64</v>
      </c>
      <c r="Q579">
        <v>741.64</v>
      </c>
      <c r="R579" t="str">
        <f>IF(OR(P579&lt;Outliers!$B$5, P579&gt;Outliers!$B$6), "outliers", "")</f>
        <v/>
      </c>
    </row>
    <row r="580" spans="1:18" x14ac:dyDescent="0.25">
      <c r="A580" t="s">
        <v>2196</v>
      </c>
      <c r="B580" s="1">
        <v>45575</v>
      </c>
      <c r="C580">
        <v>2024</v>
      </c>
      <c r="D580" t="s">
        <v>45</v>
      </c>
      <c r="E580" t="s">
        <v>2197</v>
      </c>
      <c r="F580" t="s">
        <v>20</v>
      </c>
      <c r="G580">
        <v>5</v>
      </c>
      <c r="H580">
        <v>566.07000000000005</v>
      </c>
      <c r="I580" t="s">
        <v>128</v>
      </c>
      <c r="J580" t="s">
        <v>39</v>
      </c>
      <c r="K580" t="s">
        <v>57</v>
      </c>
      <c r="L580" t="s">
        <v>2198</v>
      </c>
      <c r="M580">
        <v>6</v>
      </c>
      <c r="N580" t="s">
        <v>25</v>
      </c>
      <c r="O580" t="s">
        <v>26</v>
      </c>
      <c r="P580">
        <v>2830.35</v>
      </c>
      <c r="Q580">
        <v>2830.35</v>
      </c>
      <c r="R580" t="str">
        <f>IF(OR(P580&lt;Outliers!$B$5, P580&gt;Outliers!$B$6), "outliers", "")</f>
        <v/>
      </c>
    </row>
    <row r="581" spans="1:18" x14ac:dyDescent="0.25">
      <c r="A581" t="s">
        <v>2199</v>
      </c>
      <c r="B581" s="1">
        <v>45081</v>
      </c>
      <c r="C581">
        <v>2023</v>
      </c>
      <c r="D581" t="s">
        <v>53</v>
      </c>
      <c r="E581" t="s">
        <v>2200</v>
      </c>
      <c r="F581" t="s">
        <v>37</v>
      </c>
      <c r="G581">
        <v>2</v>
      </c>
      <c r="H581">
        <v>187.88</v>
      </c>
      <c r="I581" t="s">
        <v>1274</v>
      </c>
      <c r="J581" t="s">
        <v>32</v>
      </c>
      <c r="K581" t="s">
        <v>23</v>
      </c>
      <c r="L581" t="s">
        <v>2201</v>
      </c>
      <c r="M581">
        <v>4</v>
      </c>
      <c r="N581" t="s">
        <v>88</v>
      </c>
      <c r="O581" t="s">
        <v>51</v>
      </c>
      <c r="P581">
        <v>375.76</v>
      </c>
      <c r="Q581">
        <v>375.76</v>
      </c>
      <c r="R581" t="str">
        <f>IF(OR(P581&lt;Outliers!$B$5, P581&gt;Outliers!$B$6), "outliers", "")</f>
        <v/>
      </c>
    </row>
    <row r="582" spans="1:18" x14ac:dyDescent="0.25">
      <c r="A582" t="s">
        <v>2202</v>
      </c>
      <c r="B582" s="1">
        <v>45244</v>
      </c>
      <c r="C582">
        <v>2023</v>
      </c>
      <c r="D582" t="s">
        <v>45</v>
      </c>
      <c r="E582" t="s">
        <v>2203</v>
      </c>
      <c r="F582" t="s">
        <v>20</v>
      </c>
      <c r="G582">
        <v>2</v>
      </c>
      <c r="H582">
        <v>255.99</v>
      </c>
      <c r="I582" t="s">
        <v>2204</v>
      </c>
      <c r="J582" t="s">
        <v>39</v>
      </c>
      <c r="K582" t="s">
        <v>57</v>
      </c>
      <c r="L582" t="s">
        <v>2205</v>
      </c>
      <c r="M582">
        <v>4</v>
      </c>
      <c r="N582" t="s">
        <v>25</v>
      </c>
      <c r="O582" t="s">
        <v>26</v>
      </c>
      <c r="P582">
        <v>511.98</v>
      </c>
      <c r="Q582">
        <v>511.98</v>
      </c>
      <c r="R582" t="str">
        <f>IF(OR(P582&lt;Outliers!$B$5, P582&gt;Outliers!$B$6), "outliers", "")</f>
        <v/>
      </c>
    </row>
    <row r="583" spans="1:18" x14ac:dyDescent="0.25">
      <c r="A583" t="s">
        <v>2206</v>
      </c>
      <c r="B583" s="1">
        <v>45607</v>
      </c>
      <c r="C583">
        <v>2024</v>
      </c>
      <c r="D583" t="s">
        <v>45</v>
      </c>
      <c r="E583" t="s">
        <v>2207</v>
      </c>
      <c r="F583" t="s">
        <v>65</v>
      </c>
      <c r="G583">
        <v>1</v>
      </c>
      <c r="H583">
        <v>627.34</v>
      </c>
      <c r="I583" t="s">
        <v>108</v>
      </c>
      <c r="J583" t="s">
        <v>32</v>
      </c>
      <c r="K583" t="s">
        <v>57</v>
      </c>
      <c r="L583" t="s">
        <v>2208</v>
      </c>
      <c r="M583">
        <v>1</v>
      </c>
      <c r="O583" t="s">
        <v>34</v>
      </c>
      <c r="P583">
        <v>627.34</v>
      </c>
      <c r="Q583">
        <v>627.34</v>
      </c>
      <c r="R583" t="str">
        <f>IF(OR(P583&lt;Outliers!$B$5, P583&gt;Outliers!$B$6), "outliers", "")</f>
        <v/>
      </c>
    </row>
    <row r="584" spans="1:18" x14ac:dyDescent="0.25">
      <c r="A584" t="s">
        <v>2209</v>
      </c>
      <c r="B584" s="1">
        <v>45341</v>
      </c>
      <c r="C584">
        <v>2024</v>
      </c>
      <c r="D584" t="s">
        <v>18</v>
      </c>
      <c r="E584" t="s">
        <v>2210</v>
      </c>
      <c r="F584" t="s">
        <v>37</v>
      </c>
      <c r="G584">
        <v>3</v>
      </c>
      <c r="H584">
        <v>474.14</v>
      </c>
      <c r="I584" t="s">
        <v>1532</v>
      </c>
      <c r="J584" t="s">
        <v>67</v>
      </c>
      <c r="K584" t="s">
        <v>23</v>
      </c>
      <c r="L584" t="s">
        <v>2211</v>
      </c>
      <c r="M584">
        <v>8</v>
      </c>
      <c r="N584" t="s">
        <v>88</v>
      </c>
      <c r="O584" t="s">
        <v>83</v>
      </c>
      <c r="P584">
        <v>1422.42</v>
      </c>
      <c r="Q584">
        <v>1422.42</v>
      </c>
      <c r="R584" t="str">
        <f>IF(OR(P584&lt;Outliers!$B$5, P584&gt;Outliers!$B$6), "outliers", "")</f>
        <v/>
      </c>
    </row>
    <row r="585" spans="1:18" x14ac:dyDescent="0.25">
      <c r="A585" t="s">
        <v>2212</v>
      </c>
      <c r="B585" s="1">
        <v>45823</v>
      </c>
      <c r="C585">
        <v>2025</v>
      </c>
      <c r="D585" t="s">
        <v>53</v>
      </c>
      <c r="E585" t="s">
        <v>2213</v>
      </c>
      <c r="F585" t="s">
        <v>47</v>
      </c>
      <c r="G585">
        <v>3</v>
      </c>
      <c r="H585">
        <v>154.37</v>
      </c>
      <c r="I585" t="s">
        <v>172</v>
      </c>
      <c r="J585" t="s">
        <v>67</v>
      </c>
      <c r="K585" t="s">
        <v>57</v>
      </c>
      <c r="L585" t="s">
        <v>2214</v>
      </c>
      <c r="M585">
        <v>4</v>
      </c>
      <c r="O585" t="s">
        <v>26</v>
      </c>
      <c r="P585">
        <v>463.11</v>
      </c>
      <c r="Q585">
        <v>463.11</v>
      </c>
      <c r="R585" t="str">
        <f>IF(OR(P585&lt;Outliers!$B$5, P585&gt;Outliers!$B$6), "outliers", "")</f>
        <v/>
      </c>
    </row>
    <row r="586" spans="1:18" x14ac:dyDescent="0.25">
      <c r="A586" t="s">
        <v>2215</v>
      </c>
      <c r="B586" s="1">
        <v>45737</v>
      </c>
      <c r="C586">
        <v>2025</v>
      </c>
      <c r="D586" t="s">
        <v>18</v>
      </c>
      <c r="E586" t="s">
        <v>2216</v>
      </c>
      <c r="F586" t="s">
        <v>47</v>
      </c>
      <c r="G586">
        <v>4</v>
      </c>
      <c r="H586">
        <v>145.05000000000001</v>
      </c>
      <c r="I586" t="s">
        <v>2217</v>
      </c>
      <c r="J586" t="s">
        <v>32</v>
      </c>
      <c r="K586" t="s">
        <v>57</v>
      </c>
      <c r="L586" t="s">
        <v>2218</v>
      </c>
      <c r="M586">
        <v>6</v>
      </c>
      <c r="N586" t="s">
        <v>25</v>
      </c>
      <c r="O586" t="s">
        <v>83</v>
      </c>
      <c r="P586">
        <v>580.20000000000005</v>
      </c>
      <c r="Q586">
        <v>580.20000000000005</v>
      </c>
      <c r="R586" t="str">
        <f>IF(OR(P586&lt;Outliers!$B$5, P586&gt;Outliers!$B$6), "outliers", "")</f>
        <v/>
      </c>
    </row>
    <row r="587" spans="1:18" x14ac:dyDescent="0.25">
      <c r="A587" t="s">
        <v>2219</v>
      </c>
      <c r="B587" s="1">
        <v>45158</v>
      </c>
      <c r="C587">
        <v>2023</v>
      </c>
      <c r="D587" t="s">
        <v>28</v>
      </c>
      <c r="E587" t="s">
        <v>2220</v>
      </c>
      <c r="F587" t="s">
        <v>37</v>
      </c>
      <c r="G587">
        <v>4</v>
      </c>
      <c r="H587">
        <v>67.08</v>
      </c>
      <c r="I587" t="s">
        <v>1415</v>
      </c>
      <c r="J587" t="s">
        <v>72</v>
      </c>
      <c r="K587" t="s">
        <v>49</v>
      </c>
      <c r="L587" t="s">
        <v>2221</v>
      </c>
      <c r="M587">
        <v>8</v>
      </c>
      <c r="N587" t="s">
        <v>88</v>
      </c>
      <c r="O587" t="s">
        <v>83</v>
      </c>
      <c r="P587">
        <v>268.32</v>
      </c>
      <c r="Q587">
        <v>268.32</v>
      </c>
      <c r="R587" t="str">
        <f>IF(OR(P587&lt;Outliers!$B$5, P587&gt;Outliers!$B$6), "outliers", "")</f>
        <v/>
      </c>
    </row>
    <row r="588" spans="1:18" x14ac:dyDescent="0.25">
      <c r="A588" t="s">
        <v>2222</v>
      </c>
      <c r="B588" s="1">
        <v>45606</v>
      </c>
      <c r="C588">
        <v>2024</v>
      </c>
      <c r="D588" t="s">
        <v>45</v>
      </c>
      <c r="E588" t="s">
        <v>2223</v>
      </c>
      <c r="F588" t="s">
        <v>20</v>
      </c>
      <c r="G588">
        <v>1</v>
      </c>
      <c r="H588">
        <v>522.08000000000004</v>
      </c>
      <c r="I588" t="s">
        <v>2224</v>
      </c>
      <c r="J588" t="s">
        <v>67</v>
      </c>
      <c r="K588" t="s">
        <v>49</v>
      </c>
      <c r="L588" t="s">
        <v>2225</v>
      </c>
      <c r="M588">
        <v>5</v>
      </c>
      <c r="N588" t="s">
        <v>42</v>
      </c>
      <c r="O588" t="s">
        <v>34</v>
      </c>
      <c r="P588">
        <v>522.08000000000004</v>
      </c>
      <c r="Q588">
        <v>522.08000000000004</v>
      </c>
      <c r="R588" t="str">
        <f>IF(OR(P588&lt;Outliers!$B$5, P588&gt;Outliers!$B$6), "outliers", "")</f>
        <v/>
      </c>
    </row>
    <row r="589" spans="1:18" x14ac:dyDescent="0.25">
      <c r="A589" t="s">
        <v>2226</v>
      </c>
      <c r="B589" s="1">
        <v>45089</v>
      </c>
      <c r="C589">
        <v>2023</v>
      </c>
      <c r="D589" t="s">
        <v>53</v>
      </c>
      <c r="E589" t="s">
        <v>2227</v>
      </c>
      <c r="F589" t="s">
        <v>20</v>
      </c>
      <c r="G589">
        <v>5</v>
      </c>
      <c r="H589">
        <v>514.6</v>
      </c>
      <c r="I589" t="s">
        <v>2228</v>
      </c>
      <c r="J589" t="s">
        <v>67</v>
      </c>
      <c r="K589" t="s">
        <v>57</v>
      </c>
      <c r="L589" t="s">
        <v>2229</v>
      </c>
      <c r="M589">
        <v>10</v>
      </c>
      <c r="N589" t="s">
        <v>42</v>
      </c>
      <c r="O589" t="s">
        <v>26</v>
      </c>
      <c r="P589">
        <v>2573</v>
      </c>
      <c r="Q589">
        <v>2573</v>
      </c>
      <c r="R589" t="str">
        <f>IF(OR(P589&lt;Outliers!$B$5, P589&gt;Outliers!$B$6), "outliers", "")</f>
        <v/>
      </c>
    </row>
    <row r="590" spans="1:18" x14ac:dyDescent="0.25">
      <c r="A590" t="s">
        <v>2230</v>
      </c>
      <c r="B590" s="1">
        <v>45636</v>
      </c>
      <c r="C590">
        <v>2024</v>
      </c>
      <c r="D590" t="s">
        <v>45</v>
      </c>
      <c r="E590" t="s">
        <v>2231</v>
      </c>
      <c r="F590" t="s">
        <v>20</v>
      </c>
      <c r="G590">
        <v>4</v>
      </c>
      <c r="H590">
        <v>577.82000000000005</v>
      </c>
      <c r="I590" t="s">
        <v>280</v>
      </c>
      <c r="J590" t="s">
        <v>39</v>
      </c>
      <c r="K590" t="s">
        <v>57</v>
      </c>
      <c r="L590" t="s">
        <v>2232</v>
      </c>
      <c r="M590">
        <v>9</v>
      </c>
      <c r="O590" t="s">
        <v>83</v>
      </c>
      <c r="P590">
        <v>2311.2800000000002</v>
      </c>
      <c r="Q590">
        <v>2311.2800000000002</v>
      </c>
      <c r="R590" t="str">
        <f>IF(OR(P590&lt;Outliers!$B$5, P590&gt;Outliers!$B$6), "outliers", "")</f>
        <v/>
      </c>
    </row>
    <row r="591" spans="1:18" x14ac:dyDescent="0.25">
      <c r="A591" t="s">
        <v>2233</v>
      </c>
      <c r="B591" s="1">
        <v>45698</v>
      </c>
      <c r="C591">
        <v>2025</v>
      </c>
      <c r="D591" t="s">
        <v>18</v>
      </c>
      <c r="E591" t="s">
        <v>2234</v>
      </c>
      <c r="F591" t="s">
        <v>65</v>
      </c>
      <c r="G591">
        <v>2</v>
      </c>
      <c r="H591">
        <v>500.8</v>
      </c>
      <c r="I591" t="s">
        <v>2235</v>
      </c>
      <c r="J591" t="s">
        <v>72</v>
      </c>
      <c r="K591" t="s">
        <v>57</v>
      </c>
      <c r="L591" t="s">
        <v>2236</v>
      </c>
      <c r="M591">
        <v>3</v>
      </c>
      <c r="N591" t="s">
        <v>42</v>
      </c>
      <c r="O591" t="s">
        <v>34</v>
      </c>
      <c r="P591">
        <v>1001.6</v>
      </c>
      <c r="Q591">
        <v>1001.6</v>
      </c>
      <c r="R591" t="str">
        <f>IF(OR(P591&lt;Outliers!$B$5, P591&gt;Outliers!$B$6), "outliers", "")</f>
        <v/>
      </c>
    </row>
    <row r="592" spans="1:18" x14ac:dyDescent="0.25">
      <c r="A592" t="s">
        <v>2237</v>
      </c>
      <c r="B592" s="1">
        <v>45179</v>
      </c>
      <c r="C592">
        <v>2023</v>
      </c>
      <c r="D592" t="s">
        <v>28</v>
      </c>
      <c r="E592" t="s">
        <v>2238</v>
      </c>
      <c r="F592" t="s">
        <v>55</v>
      </c>
      <c r="G592">
        <v>2</v>
      </c>
      <c r="H592">
        <v>461.13</v>
      </c>
      <c r="I592" t="s">
        <v>2239</v>
      </c>
      <c r="J592" t="s">
        <v>67</v>
      </c>
      <c r="K592" t="s">
        <v>49</v>
      </c>
      <c r="L592" t="s">
        <v>2240</v>
      </c>
      <c r="M592">
        <v>4</v>
      </c>
      <c r="O592" t="s">
        <v>43</v>
      </c>
      <c r="P592">
        <v>922.26</v>
      </c>
      <c r="Q592">
        <v>922.26</v>
      </c>
      <c r="R592" t="str">
        <f>IF(OR(P592&lt;Outliers!$B$5, P592&gt;Outliers!$B$6), "outliers", "")</f>
        <v/>
      </c>
    </row>
    <row r="593" spans="1:18" x14ac:dyDescent="0.25">
      <c r="A593" t="s">
        <v>2241</v>
      </c>
      <c r="B593" s="1">
        <v>45614</v>
      </c>
      <c r="C593">
        <v>2024</v>
      </c>
      <c r="D593" t="s">
        <v>45</v>
      </c>
      <c r="E593" t="s">
        <v>2242</v>
      </c>
      <c r="F593" t="s">
        <v>65</v>
      </c>
      <c r="G593">
        <v>1</v>
      </c>
      <c r="H593">
        <v>605.28</v>
      </c>
      <c r="I593" t="s">
        <v>2243</v>
      </c>
      <c r="J593" t="s">
        <v>67</v>
      </c>
      <c r="K593" t="s">
        <v>23</v>
      </c>
      <c r="L593" t="s">
        <v>2244</v>
      </c>
      <c r="M593">
        <v>3</v>
      </c>
      <c r="N593" t="s">
        <v>42</v>
      </c>
      <c r="O593" t="s">
        <v>34</v>
      </c>
      <c r="P593">
        <v>605.28</v>
      </c>
      <c r="Q593">
        <v>605.28</v>
      </c>
      <c r="R593" t="str">
        <f>IF(OR(P593&lt;Outliers!$B$5, P593&gt;Outliers!$B$6), "outliers", "")</f>
        <v/>
      </c>
    </row>
    <row r="594" spans="1:18" x14ac:dyDescent="0.25">
      <c r="A594" t="s">
        <v>2245</v>
      </c>
      <c r="B594" s="1">
        <v>45405</v>
      </c>
      <c r="C594">
        <v>2024</v>
      </c>
      <c r="D594" t="s">
        <v>53</v>
      </c>
      <c r="E594" t="s">
        <v>2246</v>
      </c>
      <c r="F594" t="s">
        <v>30</v>
      </c>
      <c r="G594">
        <v>3</v>
      </c>
      <c r="H594">
        <v>204.27</v>
      </c>
      <c r="I594" t="s">
        <v>2028</v>
      </c>
      <c r="J594" t="s">
        <v>32</v>
      </c>
      <c r="K594" t="s">
        <v>49</v>
      </c>
      <c r="L594" t="s">
        <v>2247</v>
      </c>
      <c r="M594">
        <v>4</v>
      </c>
      <c r="O594" t="s">
        <v>83</v>
      </c>
      <c r="P594">
        <v>612.80999999999995</v>
      </c>
      <c r="Q594">
        <v>612.80999999999995</v>
      </c>
      <c r="R594" t="str">
        <f>IF(OR(P594&lt;Outliers!$B$5, P594&gt;Outliers!$B$6), "outliers", "")</f>
        <v/>
      </c>
    </row>
    <row r="595" spans="1:18" x14ac:dyDescent="0.25">
      <c r="A595" t="s">
        <v>2248</v>
      </c>
      <c r="B595" s="1">
        <v>45140</v>
      </c>
      <c r="C595">
        <v>2023</v>
      </c>
      <c r="D595" t="s">
        <v>28</v>
      </c>
      <c r="E595" t="s">
        <v>2249</v>
      </c>
      <c r="F595" t="s">
        <v>20</v>
      </c>
      <c r="G595">
        <v>1</v>
      </c>
      <c r="H595">
        <v>489.8</v>
      </c>
      <c r="I595" t="s">
        <v>572</v>
      </c>
      <c r="J595" t="s">
        <v>67</v>
      </c>
      <c r="K595" t="s">
        <v>23</v>
      </c>
      <c r="L595" t="s">
        <v>2250</v>
      </c>
      <c r="M595">
        <v>4</v>
      </c>
      <c r="N595" t="s">
        <v>42</v>
      </c>
      <c r="O595" t="s">
        <v>51</v>
      </c>
      <c r="P595">
        <v>489.8</v>
      </c>
      <c r="Q595">
        <v>489.8</v>
      </c>
      <c r="R595" t="str">
        <f>IF(OR(P595&lt;Outliers!$B$5, P595&gt;Outliers!$B$6), "outliers", "")</f>
        <v/>
      </c>
    </row>
    <row r="596" spans="1:18" x14ac:dyDescent="0.25">
      <c r="A596" t="s">
        <v>2251</v>
      </c>
      <c r="B596" s="1">
        <v>45343</v>
      </c>
      <c r="C596">
        <v>2024</v>
      </c>
      <c r="D596" t="s">
        <v>18</v>
      </c>
      <c r="E596" t="s">
        <v>2252</v>
      </c>
      <c r="F596" t="s">
        <v>30</v>
      </c>
      <c r="G596">
        <v>5</v>
      </c>
      <c r="H596">
        <v>72.64</v>
      </c>
      <c r="I596" t="s">
        <v>587</v>
      </c>
      <c r="J596" t="s">
        <v>39</v>
      </c>
      <c r="K596" t="s">
        <v>40</v>
      </c>
      <c r="L596" t="s">
        <v>2253</v>
      </c>
      <c r="M596">
        <v>7</v>
      </c>
      <c r="O596" t="s">
        <v>43</v>
      </c>
      <c r="P596">
        <v>363.2</v>
      </c>
      <c r="Q596">
        <v>363.2</v>
      </c>
      <c r="R596" t="str">
        <f>IF(OR(P596&lt;Outliers!$B$5, P596&gt;Outliers!$B$6), "outliers", "")</f>
        <v/>
      </c>
    </row>
    <row r="597" spans="1:18" x14ac:dyDescent="0.25">
      <c r="A597" t="s">
        <v>2254</v>
      </c>
      <c r="B597" s="1">
        <v>45667</v>
      </c>
      <c r="C597">
        <v>2025</v>
      </c>
      <c r="D597" t="s">
        <v>18</v>
      </c>
      <c r="E597" t="s">
        <v>2255</v>
      </c>
      <c r="F597" t="s">
        <v>55</v>
      </c>
      <c r="G597">
        <v>2</v>
      </c>
      <c r="H597">
        <v>385.16</v>
      </c>
      <c r="I597" t="s">
        <v>2256</v>
      </c>
      <c r="J597" t="s">
        <v>32</v>
      </c>
      <c r="K597" t="s">
        <v>96</v>
      </c>
      <c r="L597" t="s">
        <v>2257</v>
      </c>
      <c r="M597">
        <v>7</v>
      </c>
      <c r="N597" t="s">
        <v>25</v>
      </c>
      <c r="O597" t="s">
        <v>43</v>
      </c>
      <c r="P597">
        <v>770.32</v>
      </c>
      <c r="Q597">
        <v>770.32</v>
      </c>
      <c r="R597" t="str">
        <f>IF(OR(P597&lt;Outliers!$B$5, P597&gt;Outliers!$B$6), "outliers", "")</f>
        <v/>
      </c>
    </row>
    <row r="598" spans="1:18" x14ac:dyDescent="0.25">
      <c r="A598" t="s">
        <v>2258</v>
      </c>
      <c r="B598" s="1">
        <v>45089</v>
      </c>
      <c r="C598">
        <v>2023</v>
      </c>
      <c r="D598" t="s">
        <v>53</v>
      </c>
      <c r="E598" t="s">
        <v>2259</v>
      </c>
      <c r="F598" t="s">
        <v>80</v>
      </c>
      <c r="G598">
        <v>3</v>
      </c>
      <c r="H598">
        <v>606.41</v>
      </c>
      <c r="I598" t="s">
        <v>2260</v>
      </c>
      <c r="J598" t="s">
        <v>22</v>
      </c>
      <c r="K598" t="s">
        <v>49</v>
      </c>
      <c r="L598" t="s">
        <v>2261</v>
      </c>
      <c r="M598">
        <v>7</v>
      </c>
      <c r="N598" t="s">
        <v>42</v>
      </c>
      <c r="O598" t="s">
        <v>51</v>
      </c>
      <c r="P598">
        <v>1819.23</v>
      </c>
      <c r="Q598">
        <v>1819.23</v>
      </c>
      <c r="R598" t="str">
        <f>IF(OR(P598&lt;Outliers!$B$5, P598&gt;Outliers!$B$6), "outliers", "")</f>
        <v/>
      </c>
    </row>
    <row r="599" spans="1:18" x14ac:dyDescent="0.25">
      <c r="A599" t="s">
        <v>2262</v>
      </c>
      <c r="B599" s="1">
        <v>45621</v>
      </c>
      <c r="C599">
        <v>2024</v>
      </c>
      <c r="D599" t="s">
        <v>45</v>
      </c>
      <c r="E599" t="s">
        <v>2263</v>
      </c>
      <c r="F599" t="s">
        <v>80</v>
      </c>
      <c r="G599">
        <v>2</v>
      </c>
      <c r="H599">
        <v>211.82</v>
      </c>
      <c r="I599" t="s">
        <v>2264</v>
      </c>
      <c r="J599" t="s">
        <v>67</v>
      </c>
      <c r="K599" t="s">
        <v>40</v>
      </c>
      <c r="L599" t="s">
        <v>2265</v>
      </c>
      <c r="M599">
        <v>4</v>
      </c>
      <c r="N599" t="s">
        <v>88</v>
      </c>
      <c r="O599" t="s">
        <v>43</v>
      </c>
      <c r="P599">
        <v>423.64</v>
      </c>
      <c r="Q599">
        <v>423.64</v>
      </c>
      <c r="R599" t="str">
        <f>IF(OR(P599&lt;Outliers!$B$5, P599&gt;Outliers!$B$6), "outliers", "")</f>
        <v/>
      </c>
    </row>
    <row r="600" spans="1:18" x14ac:dyDescent="0.25">
      <c r="A600" t="s">
        <v>2266</v>
      </c>
      <c r="B600" s="1">
        <v>45408</v>
      </c>
      <c r="C600">
        <v>2024</v>
      </c>
      <c r="D600" t="s">
        <v>53</v>
      </c>
      <c r="E600" t="s">
        <v>2267</v>
      </c>
      <c r="F600" t="s">
        <v>80</v>
      </c>
      <c r="G600">
        <v>5</v>
      </c>
      <c r="H600">
        <v>495.35</v>
      </c>
      <c r="I600" t="s">
        <v>1351</v>
      </c>
      <c r="J600" t="s">
        <v>39</v>
      </c>
      <c r="K600" t="s">
        <v>96</v>
      </c>
      <c r="L600" t="s">
        <v>2268</v>
      </c>
      <c r="M600">
        <v>5</v>
      </c>
      <c r="O600" t="s">
        <v>51</v>
      </c>
      <c r="P600">
        <v>2476.75</v>
      </c>
      <c r="Q600">
        <v>2476.75</v>
      </c>
      <c r="R600" t="str">
        <f>IF(OR(P600&lt;Outliers!$B$5, P600&gt;Outliers!$B$6), "outliers", "")</f>
        <v/>
      </c>
    </row>
    <row r="601" spans="1:18" x14ac:dyDescent="0.25">
      <c r="A601" t="s">
        <v>2269</v>
      </c>
      <c r="B601" s="1">
        <v>45107</v>
      </c>
      <c r="C601">
        <v>2023</v>
      </c>
      <c r="D601" t="s">
        <v>53</v>
      </c>
      <c r="E601" t="s">
        <v>2270</v>
      </c>
      <c r="F601" t="s">
        <v>47</v>
      </c>
      <c r="G601">
        <v>3</v>
      </c>
      <c r="H601">
        <v>556.99</v>
      </c>
      <c r="I601" t="s">
        <v>1616</v>
      </c>
      <c r="J601" t="s">
        <v>32</v>
      </c>
      <c r="K601" t="s">
        <v>40</v>
      </c>
      <c r="L601" t="s">
        <v>2271</v>
      </c>
      <c r="M601">
        <v>4</v>
      </c>
      <c r="N601" t="s">
        <v>42</v>
      </c>
      <c r="O601" t="s">
        <v>51</v>
      </c>
      <c r="P601">
        <v>1670.97</v>
      </c>
      <c r="Q601">
        <v>1670.97</v>
      </c>
      <c r="R601" t="str">
        <f>IF(OR(P601&lt;Outliers!$B$5, P601&gt;Outliers!$B$6), "outliers", "")</f>
        <v/>
      </c>
    </row>
    <row r="602" spans="1:18" x14ac:dyDescent="0.25">
      <c r="A602" t="s">
        <v>2272</v>
      </c>
      <c r="B602" s="1">
        <v>45072</v>
      </c>
      <c r="C602">
        <v>2023</v>
      </c>
      <c r="D602" t="s">
        <v>53</v>
      </c>
      <c r="E602" t="s">
        <v>2273</v>
      </c>
      <c r="F602" t="s">
        <v>55</v>
      </c>
      <c r="G602">
        <v>1</v>
      </c>
      <c r="H602">
        <v>72.31</v>
      </c>
      <c r="I602" t="s">
        <v>1054</v>
      </c>
      <c r="J602" t="s">
        <v>67</v>
      </c>
      <c r="K602" t="s">
        <v>40</v>
      </c>
      <c r="L602" t="s">
        <v>2274</v>
      </c>
      <c r="M602">
        <v>1</v>
      </c>
      <c r="N602" t="s">
        <v>42</v>
      </c>
      <c r="O602" t="s">
        <v>51</v>
      </c>
      <c r="P602">
        <v>72.31</v>
      </c>
      <c r="Q602">
        <v>72.31</v>
      </c>
      <c r="R602" t="str">
        <f>IF(OR(P602&lt;Outliers!$B$5, P602&gt;Outliers!$B$6), "outliers", "")</f>
        <v/>
      </c>
    </row>
    <row r="603" spans="1:18" x14ac:dyDescent="0.25">
      <c r="A603" t="s">
        <v>2275</v>
      </c>
      <c r="B603" s="1">
        <v>45201</v>
      </c>
      <c r="C603">
        <v>2023</v>
      </c>
      <c r="D603" t="s">
        <v>45</v>
      </c>
      <c r="E603" t="s">
        <v>2276</v>
      </c>
      <c r="F603" t="s">
        <v>20</v>
      </c>
      <c r="G603">
        <v>5</v>
      </c>
      <c r="H603">
        <v>24.82</v>
      </c>
      <c r="I603" t="s">
        <v>2277</v>
      </c>
      <c r="J603" t="s">
        <v>39</v>
      </c>
      <c r="K603" t="s">
        <v>23</v>
      </c>
      <c r="L603" t="s">
        <v>2278</v>
      </c>
      <c r="M603">
        <v>10</v>
      </c>
      <c r="O603" t="s">
        <v>34</v>
      </c>
      <c r="P603">
        <v>124.1</v>
      </c>
      <c r="Q603">
        <v>124.1</v>
      </c>
      <c r="R603" t="str">
        <f>IF(OR(P603&lt;Outliers!$B$5, P603&gt;Outliers!$B$6), "outliers", "")</f>
        <v/>
      </c>
    </row>
    <row r="604" spans="1:18" x14ac:dyDescent="0.25">
      <c r="A604" t="s">
        <v>2279</v>
      </c>
      <c r="B604" s="1">
        <v>45356</v>
      </c>
      <c r="C604">
        <v>2024</v>
      </c>
      <c r="D604" t="s">
        <v>18</v>
      </c>
      <c r="E604" t="s">
        <v>1865</v>
      </c>
      <c r="F604" t="s">
        <v>37</v>
      </c>
      <c r="G604">
        <v>4</v>
      </c>
      <c r="H604">
        <v>26.04</v>
      </c>
      <c r="I604" t="s">
        <v>1869</v>
      </c>
      <c r="J604" t="s">
        <v>32</v>
      </c>
      <c r="K604" t="s">
        <v>96</v>
      </c>
      <c r="L604" t="s">
        <v>2280</v>
      </c>
      <c r="M604">
        <v>5</v>
      </c>
      <c r="N604" t="s">
        <v>25</v>
      </c>
      <c r="O604" t="s">
        <v>26</v>
      </c>
      <c r="P604">
        <v>104.16</v>
      </c>
      <c r="Q604">
        <v>104.16</v>
      </c>
      <c r="R604" t="str">
        <f>IF(OR(P604&lt;Outliers!$B$5, P604&gt;Outliers!$B$6), "outliers", "")</f>
        <v/>
      </c>
    </row>
    <row r="605" spans="1:18" x14ac:dyDescent="0.25">
      <c r="A605" t="s">
        <v>2281</v>
      </c>
      <c r="B605" s="1">
        <v>45569</v>
      </c>
      <c r="C605">
        <v>2024</v>
      </c>
      <c r="D605" t="s">
        <v>45</v>
      </c>
      <c r="E605" t="s">
        <v>2282</v>
      </c>
      <c r="F605" t="s">
        <v>37</v>
      </c>
      <c r="G605">
        <v>1</v>
      </c>
      <c r="H605">
        <v>657.07</v>
      </c>
      <c r="I605" t="s">
        <v>2283</v>
      </c>
      <c r="J605" t="s">
        <v>72</v>
      </c>
      <c r="K605" t="s">
        <v>96</v>
      </c>
      <c r="L605" t="s">
        <v>2284</v>
      </c>
      <c r="M605">
        <v>4</v>
      </c>
      <c r="N605" t="s">
        <v>25</v>
      </c>
      <c r="O605" t="s">
        <v>83</v>
      </c>
      <c r="P605">
        <v>657.07</v>
      </c>
      <c r="Q605">
        <v>657.07</v>
      </c>
      <c r="R605" t="str">
        <f>IF(OR(P605&lt;Outliers!$B$5, P605&gt;Outliers!$B$6), "outliers", "")</f>
        <v/>
      </c>
    </row>
    <row r="606" spans="1:18" x14ac:dyDescent="0.25">
      <c r="A606" t="s">
        <v>2285</v>
      </c>
      <c r="B606" s="1">
        <v>45830</v>
      </c>
      <c r="C606">
        <v>2025</v>
      </c>
      <c r="D606" t="s">
        <v>53</v>
      </c>
      <c r="E606" t="s">
        <v>2286</v>
      </c>
      <c r="F606" t="s">
        <v>47</v>
      </c>
      <c r="G606">
        <v>3</v>
      </c>
      <c r="H606">
        <v>32.619999999999997</v>
      </c>
      <c r="I606" t="s">
        <v>1190</v>
      </c>
      <c r="J606" t="s">
        <v>22</v>
      </c>
      <c r="K606" t="s">
        <v>57</v>
      </c>
      <c r="L606" t="s">
        <v>2287</v>
      </c>
      <c r="M606">
        <v>6</v>
      </c>
      <c r="O606" t="s">
        <v>51</v>
      </c>
      <c r="P606">
        <v>97.86</v>
      </c>
      <c r="Q606">
        <v>97.86</v>
      </c>
      <c r="R606" t="str">
        <f>IF(OR(P606&lt;Outliers!$B$5, P606&gt;Outliers!$B$6), "outliers", "")</f>
        <v/>
      </c>
    </row>
    <row r="607" spans="1:18" x14ac:dyDescent="0.25">
      <c r="A607" t="s">
        <v>2288</v>
      </c>
      <c r="B607" s="1">
        <v>45422</v>
      </c>
      <c r="C607">
        <v>2024</v>
      </c>
      <c r="D607" t="s">
        <v>53</v>
      </c>
      <c r="E607" t="s">
        <v>2289</v>
      </c>
      <c r="F607" t="s">
        <v>20</v>
      </c>
      <c r="G607">
        <v>2</v>
      </c>
      <c r="H607">
        <v>228.91</v>
      </c>
      <c r="I607" t="s">
        <v>2290</v>
      </c>
      <c r="J607" t="s">
        <v>22</v>
      </c>
      <c r="K607" t="s">
        <v>23</v>
      </c>
      <c r="L607" t="s">
        <v>2291</v>
      </c>
      <c r="M607">
        <v>4</v>
      </c>
      <c r="N607" t="s">
        <v>25</v>
      </c>
      <c r="O607" t="s">
        <v>34</v>
      </c>
      <c r="P607">
        <v>457.82</v>
      </c>
      <c r="Q607">
        <v>457.82</v>
      </c>
      <c r="R607" t="str">
        <f>IF(OR(P607&lt;Outliers!$B$5, P607&gt;Outliers!$B$6), "outliers", "")</f>
        <v/>
      </c>
    </row>
    <row r="608" spans="1:18" x14ac:dyDescent="0.25">
      <c r="A608" t="s">
        <v>2292</v>
      </c>
      <c r="B608" s="1">
        <v>45602</v>
      </c>
      <c r="C608">
        <v>2024</v>
      </c>
      <c r="D608" t="s">
        <v>45</v>
      </c>
      <c r="E608" t="s">
        <v>2293</v>
      </c>
      <c r="F608" t="s">
        <v>65</v>
      </c>
      <c r="G608">
        <v>3</v>
      </c>
      <c r="H608">
        <v>274.75</v>
      </c>
      <c r="I608" t="s">
        <v>963</v>
      </c>
      <c r="J608" t="s">
        <v>72</v>
      </c>
      <c r="K608" t="s">
        <v>40</v>
      </c>
      <c r="L608" t="s">
        <v>2294</v>
      </c>
      <c r="M608">
        <v>3</v>
      </c>
      <c r="N608" t="s">
        <v>25</v>
      </c>
      <c r="O608" t="s">
        <v>83</v>
      </c>
      <c r="P608">
        <v>824.25</v>
      </c>
      <c r="Q608">
        <v>824.25</v>
      </c>
      <c r="R608" t="str">
        <f>IF(OR(P608&lt;Outliers!$B$5, P608&gt;Outliers!$B$6), "outliers", "")</f>
        <v/>
      </c>
    </row>
    <row r="609" spans="1:18" x14ac:dyDescent="0.25">
      <c r="A609" t="s">
        <v>2295</v>
      </c>
      <c r="B609" s="1">
        <v>45808</v>
      </c>
      <c r="C609">
        <v>2025</v>
      </c>
      <c r="D609" t="s">
        <v>53</v>
      </c>
      <c r="E609" t="s">
        <v>2296</v>
      </c>
      <c r="F609" t="s">
        <v>55</v>
      </c>
      <c r="G609">
        <v>4</v>
      </c>
      <c r="H609">
        <v>634.04999999999995</v>
      </c>
      <c r="I609" t="s">
        <v>2297</v>
      </c>
      <c r="J609" t="s">
        <v>72</v>
      </c>
      <c r="K609" t="s">
        <v>23</v>
      </c>
      <c r="L609" t="s">
        <v>2298</v>
      </c>
      <c r="M609">
        <v>6</v>
      </c>
      <c r="N609" t="s">
        <v>25</v>
      </c>
      <c r="O609" t="s">
        <v>83</v>
      </c>
      <c r="P609">
        <v>2536.1999999999998</v>
      </c>
      <c r="Q609">
        <v>2536.1999999999998</v>
      </c>
      <c r="R609" t="str">
        <f>IF(OR(P609&lt;Outliers!$B$5, P609&gt;Outliers!$B$6), "outliers", "")</f>
        <v/>
      </c>
    </row>
    <row r="610" spans="1:18" x14ac:dyDescent="0.25">
      <c r="A610" t="s">
        <v>2299</v>
      </c>
      <c r="B610" s="1">
        <v>45497</v>
      </c>
      <c r="C610">
        <v>2024</v>
      </c>
      <c r="D610" t="s">
        <v>28</v>
      </c>
      <c r="E610" t="s">
        <v>2300</v>
      </c>
      <c r="F610" t="s">
        <v>65</v>
      </c>
      <c r="G610">
        <v>5</v>
      </c>
      <c r="H610">
        <v>543.16</v>
      </c>
      <c r="I610" t="s">
        <v>2301</v>
      </c>
      <c r="J610" t="s">
        <v>32</v>
      </c>
      <c r="K610" t="s">
        <v>40</v>
      </c>
      <c r="L610" t="s">
        <v>2302</v>
      </c>
      <c r="M610">
        <v>6</v>
      </c>
      <c r="N610" t="s">
        <v>25</v>
      </c>
      <c r="O610" t="s">
        <v>26</v>
      </c>
      <c r="P610">
        <v>2715.8</v>
      </c>
      <c r="Q610">
        <v>2715.8</v>
      </c>
      <c r="R610" t="str">
        <f>IF(OR(P610&lt;Outliers!$B$5, P610&gt;Outliers!$B$6), "outliers", "")</f>
        <v/>
      </c>
    </row>
    <row r="611" spans="1:18" x14ac:dyDescent="0.25">
      <c r="A611" t="s">
        <v>2303</v>
      </c>
      <c r="B611" s="1">
        <v>45684</v>
      </c>
      <c r="C611">
        <v>2025</v>
      </c>
      <c r="D611" t="s">
        <v>18</v>
      </c>
      <c r="E611" t="s">
        <v>2304</v>
      </c>
      <c r="F611" t="s">
        <v>47</v>
      </c>
      <c r="G611">
        <v>3</v>
      </c>
      <c r="H611">
        <v>449.13</v>
      </c>
      <c r="I611" t="s">
        <v>2305</v>
      </c>
      <c r="J611" t="s">
        <v>72</v>
      </c>
      <c r="K611" t="s">
        <v>49</v>
      </c>
      <c r="L611" t="s">
        <v>2306</v>
      </c>
      <c r="M611">
        <v>5</v>
      </c>
      <c r="N611" t="s">
        <v>88</v>
      </c>
      <c r="O611" t="s">
        <v>34</v>
      </c>
      <c r="P611">
        <v>1347.39</v>
      </c>
      <c r="Q611">
        <v>1347.39</v>
      </c>
      <c r="R611" t="str">
        <f>IF(OR(P611&lt;Outliers!$B$5, P611&gt;Outliers!$B$6), "outliers", "")</f>
        <v/>
      </c>
    </row>
    <row r="612" spans="1:18" x14ac:dyDescent="0.25">
      <c r="A612" t="s">
        <v>2307</v>
      </c>
      <c r="B612" s="1">
        <v>45459</v>
      </c>
      <c r="C612">
        <v>2024</v>
      </c>
      <c r="D612" t="s">
        <v>53</v>
      </c>
      <c r="E612" t="s">
        <v>2308</v>
      </c>
      <c r="F612" t="s">
        <v>80</v>
      </c>
      <c r="G612">
        <v>5</v>
      </c>
      <c r="H612">
        <v>389.62</v>
      </c>
      <c r="I612" t="s">
        <v>260</v>
      </c>
      <c r="J612" t="s">
        <v>72</v>
      </c>
      <c r="K612" t="s">
        <v>49</v>
      </c>
      <c r="L612" t="s">
        <v>2309</v>
      </c>
      <c r="M612">
        <v>7</v>
      </c>
      <c r="N612" t="s">
        <v>42</v>
      </c>
      <c r="O612" t="s">
        <v>51</v>
      </c>
      <c r="P612">
        <v>1948.1</v>
      </c>
      <c r="Q612">
        <v>1948.1</v>
      </c>
      <c r="R612" t="str">
        <f>IF(OR(P612&lt;Outliers!$B$5, P612&gt;Outliers!$B$6), "outliers", "")</f>
        <v/>
      </c>
    </row>
    <row r="613" spans="1:18" x14ac:dyDescent="0.25">
      <c r="A613" t="s">
        <v>2310</v>
      </c>
      <c r="B613" s="1">
        <v>45037</v>
      </c>
      <c r="C613">
        <v>2023</v>
      </c>
      <c r="D613" t="s">
        <v>53</v>
      </c>
      <c r="E613" t="s">
        <v>2311</v>
      </c>
      <c r="F613" t="s">
        <v>80</v>
      </c>
      <c r="G613">
        <v>1</v>
      </c>
      <c r="H613">
        <v>305.17</v>
      </c>
      <c r="I613" t="s">
        <v>2264</v>
      </c>
      <c r="J613" t="s">
        <v>67</v>
      </c>
      <c r="K613" t="s">
        <v>49</v>
      </c>
      <c r="L613" t="s">
        <v>2312</v>
      </c>
      <c r="M613">
        <v>3</v>
      </c>
      <c r="N613" t="s">
        <v>88</v>
      </c>
      <c r="O613" t="s">
        <v>34</v>
      </c>
      <c r="P613">
        <v>305.17</v>
      </c>
      <c r="Q613">
        <v>305.17</v>
      </c>
      <c r="R613" t="str">
        <f>IF(OR(P613&lt;Outliers!$B$5, P613&gt;Outliers!$B$6), "outliers", "")</f>
        <v/>
      </c>
    </row>
    <row r="614" spans="1:18" x14ac:dyDescent="0.25">
      <c r="A614" t="s">
        <v>2313</v>
      </c>
      <c r="B614" s="1">
        <v>45079</v>
      </c>
      <c r="C614">
        <v>2023</v>
      </c>
      <c r="D614" t="s">
        <v>53</v>
      </c>
      <c r="E614" t="s">
        <v>2314</v>
      </c>
      <c r="F614" t="s">
        <v>47</v>
      </c>
      <c r="G614">
        <v>3</v>
      </c>
      <c r="H614">
        <v>445.12</v>
      </c>
      <c r="I614" t="s">
        <v>1267</v>
      </c>
      <c r="J614" t="s">
        <v>67</v>
      </c>
      <c r="K614" t="s">
        <v>40</v>
      </c>
      <c r="L614" t="s">
        <v>2315</v>
      </c>
      <c r="M614">
        <v>8</v>
      </c>
      <c r="O614" t="s">
        <v>83</v>
      </c>
      <c r="P614">
        <v>1335.36</v>
      </c>
      <c r="Q614">
        <v>1335.36</v>
      </c>
      <c r="R614" t="str">
        <f>IF(OR(P614&lt;Outliers!$B$5, P614&gt;Outliers!$B$6), "outliers", "")</f>
        <v/>
      </c>
    </row>
    <row r="615" spans="1:18" x14ac:dyDescent="0.25">
      <c r="A615" t="s">
        <v>2316</v>
      </c>
      <c r="B615" s="1">
        <v>45645</v>
      </c>
      <c r="C615">
        <v>2024</v>
      </c>
      <c r="D615" t="s">
        <v>45</v>
      </c>
      <c r="E615" t="s">
        <v>2317</v>
      </c>
      <c r="F615" t="s">
        <v>65</v>
      </c>
      <c r="G615">
        <v>2</v>
      </c>
      <c r="H615">
        <v>230.36</v>
      </c>
      <c r="I615" t="s">
        <v>2318</v>
      </c>
      <c r="J615" t="s">
        <v>32</v>
      </c>
      <c r="K615" t="s">
        <v>49</v>
      </c>
      <c r="L615" t="s">
        <v>2319</v>
      </c>
      <c r="M615">
        <v>4</v>
      </c>
      <c r="N615" t="s">
        <v>88</v>
      </c>
      <c r="O615" t="s">
        <v>43</v>
      </c>
      <c r="P615">
        <v>460.72</v>
      </c>
      <c r="Q615">
        <v>460.72</v>
      </c>
      <c r="R615" t="str">
        <f>IF(OR(P615&lt;Outliers!$B$5, P615&gt;Outliers!$B$6), "outliers", "")</f>
        <v/>
      </c>
    </row>
    <row r="616" spans="1:18" x14ac:dyDescent="0.25">
      <c r="A616" t="s">
        <v>2320</v>
      </c>
      <c r="B616" s="1">
        <v>45359</v>
      </c>
      <c r="C616">
        <v>2024</v>
      </c>
      <c r="D616" t="s">
        <v>18</v>
      </c>
      <c r="E616" t="s">
        <v>2321</v>
      </c>
      <c r="F616" t="s">
        <v>30</v>
      </c>
      <c r="G616">
        <v>1</v>
      </c>
      <c r="H616">
        <v>96.81</v>
      </c>
      <c r="I616" t="s">
        <v>513</v>
      </c>
      <c r="J616" t="s">
        <v>67</v>
      </c>
      <c r="K616" t="s">
        <v>40</v>
      </c>
      <c r="L616" t="s">
        <v>2322</v>
      </c>
      <c r="M616">
        <v>3</v>
      </c>
      <c r="O616" t="s">
        <v>34</v>
      </c>
      <c r="P616">
        <v>96.81</v>
      </c>
      <c r="Q616">
        <v>96.81</v>
      </c>
      <c r="R616" t="str">
        <f>IF(OR(P616&lt;Outliers!$B$5, P616&gt;Outliers!$B$6), "outliers", "")</f>
        <v/>
      </c>
    </row>
    <row r="617" spans="1:18" x14ac:dyDescent="0.25">
      <c r="A617" t="s">
        <v>2323</v>
      </c>
      <c r="B617" s="1">
        <v>45723</v>
      </c>
      <c r="C617">
        <v>2025</v>
      </c>
      <c r="D617" t="s">
        <v>18</v>
      </c>
      <c r="E617" t="s">
        <v>2324</v>
      </c>
      <c r="F617" t="s">
        <v>20</v>
      </c>
      <c r="G617">
        <v>5</v>
      </c>
      <c r="H617">
        <v>460.14</v>
      </c>
      <c r="I617" t="s">
        <v>1190</v>
      </c>
      <c r="J617" t="s">
        <v>39</v>
      </c>
      <c r="K617" t="s">
        <v>49</v>
      </c>
      <c r="L617" t="s">
        <v>2325</v>
      </c>
      <c r="M617">
        <v>10</v>
      </c>
      <c r="N617" t="s">
        <v>88</v>
      </c>
      <c r="O617" t="s">
        <v>51</v>
      </c>
      <c r="P617">
        <v>2300.6999999999998</v>
      </c>
      <c r="Q617">
        <v>2300.6999999999998</v>
      </c>
      <c r="R617" t="str">
        <f>IF(OR(P617&lt;Outliers!$B$5, P617&gt;Outliers!$B$6), "outliers", "")</f>
        <v/>
      </c>
    </row>
    <row r="618" spans="1:18" x14ac:dyDescent="0.25">
      <c r="A618" t="s">
        <v>2326</v>
      </c>
      <c r="B618" s="1">
        <v>45582</v>
      </c>
      <c r="C618">
        <v>2024</v>
      </c>
      <c r="D618" t="s">
        <v>45</v>
      </c>
      <c r="E618" t="s">
        <v>2327</v>
      </c>
      <c r="F618" t="s">
        <v>37</v>
      </c>
      <c r="G618">
        <v>3</v>
      </c>
      <c r="H618">
        <v>601.6</v>
      </c>
      <c r="I618" t="s">
        <v>2328</v>
      </c>
      <c r="J618" t="s">
        <v>39</v>
      </c>
      <c r="K618" t="s">
        <v>40</v>
      </c>
      <c r="L618" t="s">
        <v>2329</v>
      </c>
      <c r="M618">
        <v>7</v>
      </c>
      <c r="N618" t="s">
        <v>25</v>
      </c>
      <c r="O618" t="s">
        <v>51</v>
      </c>
      <c r="P618">
        <v>1804.8</v>
      </c>
      <c r="Q618">
        <v>1804.8</v>
      </c>
      <c r="R618" t="str">
        <f>IF(OR(P618&lt;Outliers!$B$5, P618&gt;Outliers!$B$6), "outliers", "")</f>
        <v/>
      </c>
    </row>
    <row r="619" spans="1:18" x14ac:dyDescent="0.25">
      <c r="A619" t="s">
        <v>2330</v>
      </c>
      <c r="B619" s="1">
        <v>45330</v>
      </c>
      <c r="C619">
        <v>2024</v>
      </c>
      <c r="D619" t="s">
        <v>18</v>
      </c>
      <c r="E619" t="s">
        <v>2331</v>
      </c>
      <c r="F619" t="s">
        <v>37</v>
      </c>
      <c r="G619">
        <v>3</v>
      </c>
      <c r="H619">
        <v>184.47</v>
      </c>
      <c r="I619" t="s">
        <v>2332</v>
      </c>
      <c r="J619" t="s">
        <v>32</v>
      </c>
      <c r="K619" t="s">
        <v>40</v>
      </c>
      <c r="L619" t="s">
        <v>2333</v>
      </c>
      <c r="M619">
        <v>4</v>
      </c>
      <c r="O619" t="s">
        <v>34</v>
      </c>
      <c r="P619">
        <v>553.41</v>
      </c>
      <c r="Q619">
        <v>553.41</v>
      </c>
      <c r="R619" t="str">
        <f>IF(OR(P619&lt;Outliers!$B$5, P619&gt;Outliers!$B$6), "outliers", "")</f>
        <v/>
      </c>
    </row>
    <row r="620" spans="1:18" x14ac:dyDescent="0.25">
      <c r="A620" t="s">
        <v>2334</v>
      </c>
      <c r="B620" s="1">
        <v>45538</v>
      </c>
      <c r="C620">
        <v>2024</v>
      </c>
      <c r="D620" t="s">
        <v>28</v>
      </c>
      <c r="E620" t="s">
        <v>2335</v>
      </c>
      <c r="F620" t="s">
        <v>37</v>
      </c>
      <c r="G620">
        <v>1</v>
      </c>
      <c r="H620">
        <v>411.34</v>
      </c>
      <c r="I620" t="s">
        <v>2336</v>
      </c>
      <c r="J620" t="s">
        <v>22</v>
      </c>
      <c r="K620" t="s">
        <v>49</v>
      </c>
      <c r="L620" t="s">
        <v>2337</v>
      </c>
      <c r="M620">
        <v>5</v>
      </c>
      <c r="O620" t="s">
        <v>26</v>
      </c>
      <c r="P620">
        <v>411.34</v>
      </c>
      <c r="Q620">
        <v>411.34</v>
      </c>
      <c r="R620" t="str">
        <f>IF(OR(P620&lt;Outliers!$B$5, P620&gt;Outliers!$B$6), "outliers", "")</f>
        <v/>
      </c>
    </row>
    <row r="621" spans="1:18" x14ac:dyDescent="0.25">
      <c r="A621" t="s">
        <v>2338</v>
      </c>
      <c r="B621" s="1">
        <v>45489</v>
      </c>
      <c r="C621">
        <v>2024</v>
      </c>
      <c r="D621" t="s">
        <v>28</v>
      </c>
      <c r="E621" t="s">
        <v>2339</v>
      </c>
      <c r="F621" t="s">
        <v>65</v>
      </c>
      <c r="G621">
        <v>1</v>
      </c>
      <c r="H621">
        <v>532.89</v>
      </c>
      <c r="I621" t="s">
        <v>1876</v>
      </c>
      <c r="J621" t="s">
        <v>67</v>
      </c>
      <c r="K621" t="s">
        <v>96</v>
      </c>
      <c r="L621" t="s">
        <v>2340</v>
      </c>
      <c r="M621">
        <v>2</v>
      </c>
      <c r="O621" t="s">
        <v>34</v>
      </c>
      <c r="P621">
        <v>532.89</v>
      </c>
      <c r="Q621">
        <v>532.89</v>
      </c>
      <c r="R621" t="str">
        <f>IF(OR(P621&lt;Outliers!$B$5, P621&gt;Outliers!$B$6), "outliers", "")</f>
        <v/>
      </c>
    </row>
    <row r="622" spans="1:18" x14ac:dyDescent="0.25">
      <c r="A622" t="s">
        <v>2341</v>
      </c>
      <c r="B622" s="1">
        <v>45378</v>
      </c>
      <c r="C622">
        <v>2024</v>
      </c>
      <c r="D622" t="s">
        <v>18</v>
      </c>
      <c r="E622" t="s">
        <v>2342</v>
      </c>
      <c r="F622" t="s">
        <v>37</v>
      </c>
      <c r="G622">
        <v>3</v>
      </c>
      <c r="H622">
        <v>136.34</v>
      </c>
      <c r="I622" t="s">
        <v>2343</v>
      </c>
      <c r="J622" t="s">
        <v>22</v>
      </c>
      <c r="K622" t="s">
        <v>49</v>
      </c>
      <c r="L622" t="s">
        <v>2344</v>
      </c>
      <c r="M622">
        <v>8</v>
      </c>
      <c r="N622" t="s">
        <v>25</v>
      </c>
      <c r="O622" t="s">
        <v>34</v>
      </c>
      <c r="P622">
        <v>409.02</v>
      </c>
      <c r="Q622">
        <v>409.02</v>
      </c>
      <c r="R622" t="str">
        <f>IF(OR(P622&lt;Outliers!$B$5, P622&gt;Outliers!$B$6), "outliers", "")</f>
        <v/>
      </c>
    </row>
    <row r="623" spans="1:18" x14ac:dyDescent="0.25">
      <c r="A623" t="s">
        <v>2345</v>
      </c>
      <c r="B623" s="1">
        <v>45221</v>
      </c>
      <c r="C623">
        <v>2023</v>
      </c>
      <c r="D623" t="s">
        <v>45</v>
      </c>
      <c r="E623" t="s">
        <v>2346</v>
      </c>
      <c r="F623" t="s">
        <v>30</v>
      </c>
      <c r="G623">
        <v>5</v>
      </c>
      <c r="H623">
        <v>476.01</v>
      </c>
      <c r="I623" t="s">
        <v>354</v>
      </c>
      <c r="J623" t="s">
        <v>39</v>
      </c>
      <c r="K623" t="s">
        <v>57</v>
      </c>
      <c r="L623" t="s">
        <v>2347</v>
      </c>
      <c r="M623">
        <v>7</v>
      </c>
      <c r="N623" t="s">
        <v>88</v>
      </c>
      <c r="O623" t="s">
        <v>83</v>
      </c>
      <c r="P623">
        <v>2380.0500000000002</v>
      </c>
      <c r="Q623">
        <v>2380.0500000000002</v>
      </c>
      <c r="R623" t="str">
        <f>IF(OR(P623&lt;Outliers!$B$5, P623&gt;Outliers!$B$6), "outliers", "")</f>
        <v/>
      </c>
    </row>
    <row r="624" spans="1:18" x14ac:dyDescent="0.25">
      <c r="A624" t="s">
        <v>2348</v>
      </c>
      <c r="B624" s="1">
        <v>45598</v>
      </c>
      <c r="C624">
        <v>2024</v>
      </c>
      <c r="D624" t="s">
        <v>45</v>
      </c>
      <c r="E624" t="s">
        <v>2349</v>
      </c>
      <c r="F624" t="s">
        <v>80</v>
      </c>
      <c r="G624">
        <v>5</v>
      </c>
      <c r="H624">
        <v>236.38</v>
      </c>
      <c r="I624" t="s">
        <v>188</v>
      </c>
      <c r="J624" t="s">
        <v>39</v>
      </c>
      <c r="K624" t="s">
        <v>49</v>
      </c>
      <c r="L624" t="s">
        <v>2350</v>
      </c>
      <c r="M624">
        <v>7</v>
      </c>
      <c r="O624" t="s">
        <v>51</v>
      </c>
      <c r="P624">
        <v>1181.9000000000001</v>
      </c>
      <c r="Q624">
        <v>1181.9000000000001</v>
      </c>
      <c r="R624" t="str">
        <f>IF(OR(P624&lt;Outliers!$B$5, P624&gt;Outliers!$B$6), "outliers", "")</f>
        <v/>
      </c>
    </row>
    <row r="625" spans="1:18" x14ac:dyDescent="0.25">
      <c r="A625" t="s">
        <v>2351</v>
      </c>
      <c r="B625" s="1">
        <v>45093</v>
      </c>
      <c r="C625">
        <v>2023</v>
      </c>
      <c r="D625" t="s">
        <v>53</v>
      </c>
      <c r="E625" t="s">
        <v>2352</v>
      </c>
      <c r="F625" t="s">
        <v>55</v>
      </c>
      <c r="G625">
        <v>3</v>
      </c>
      <c r="H625">
        <v>396</v>
      </c>
      <c r="I625" t="s">
        <v>2353</v>
      </c>
      <c r="J625" t="s">
        <v>67</v>
      </c>
      <c r="K625" t="s">
        <v>40</v>
      </c>
      <c r="L625" t="s">
        <v>2354</v>
      </c>
      <c r="M625">
        <v>4</v>
      </c>
      <c r="N625" t="s">
        <v>42</v>
      </c>
      <c r="O625" t="s">
        <v>26</v>
      </c>
      <c r="P625">
        <v>1188</v>
      </c>
      <c r="Q625">
        <v>1188</v>
      </c>
      <c r="R625" t="str">
        <f>IF(OR(P625&lt;Outliers!$B$5, P625&gt;Outliers!$B$6), "outliers", "")</f>
        <v/>
      </c>
    </row>
    <row r="626" spans="1:18" x14ac:dyDescent="0.25">
      <c r="A626" t="s">
        <v>2355</v>
      </c>
      <c r="B626" s="1">
        <v>45307</v>
      </c>
      <c r="C626">
        <v>2024</v>
      </c>
      <c r="D626" t="s">
        <v>18</v>
      </c>
      <c r="E626" t="s">
        <v>2356</v>
      </c>
      <c r="F626" t="s">
        <v>37</v>
      </c>
      <c r="G626">
        <v>5</v>
      </c>
      <c r="H626">
        <v>341.96</v>
      </c>
      <c r="I626" t="s">
        <v>1422</v>
      </c>
      <c r="J626" t="s">
        <v>22</v>
      </c>
      <c r="K626" t="s">
        <v>57</v>
      </c>
      <c r="L626" t="s">
        <v>2357</v>
      </c>
      <c r="M626">
        <v>6</v>
      </c>
      <c r="O626" t="s">
        <v>43</v>
      </c>
      <c r="P626">
        <v>1709.8</v>
      </c>
      <c r="Q626">
        <v>1709.8</v>
      </c>
      <c r="R626" t="str">
        <f>IF(OR(P626&lt;Outliers!$B$5, P626&gt;Outliers!$B$6), "outliers", "")</f>
        <v/>
      </c>
    </row>
    <row r="627" spans="1:18" x14ac:dyDescent="0.25">
      <c r="A627" t="s">
        <v>2358</v>
      </c>
      <c r="B627" s="1">
        <v>45193</v>
      </c>
      <c r="C627">
        <v>2023</v>
      </c>
      <c r="D627" t="s">
        <v>28</v>
      </c>
      <c r="E627" t="s">
        <v>2359</v>
      </c>
      <c r="F627" t="s">
        <v>37</v>
      </c>
      <c r="G627">
        <v>1</v>
      </c>
      <c r="H627">
        <v>672.89</v>
      </c>
      <c r="I627" t="s">
        <v>2360</v>
      </c>
      <c r="J627" t="s">
        <v>39</v>
      </c>
      <c r="K627" t="s">
        <v>96</v>
      </c>
      <c r="L627" t="s">
        <v>2361</v>
      </c>
      <c r="M627">
        <v>1</v>
      </c>
      <c r="N627" t="s">
        <v>88</v>
      </c>
      <c r="O627" t="s">
        <v>43</v>
      </c>
      <c r="P627">
        <v>672.89</v>
      </c>
      <c r="Q627">
        <v>672.89</v>
      </c>
      <c r="R627" t="str">
        <f>IF(OR(P627&lt;Outliers!$B$5, P627&gt;Outliers!$B$6), "outliers", "")</f>
        <v/>
      </c>
    </row>
    <row r="628" spans="1:18" x14ac:dyDescent="0.25">
      <c r="A628" t="s">
        <v>2362</v>
      </c>
      <c r="B628" s="1">
        <v>45352</v>
      </c>
      <c r="C628">
        <v>2024</v>
      </c>
      <c r="D628" t="s">
        <v>18</v>
      </c>
      <c r="E628" t="s">
        <v>2363</v>
      </c>
      <c r="F628" t="s">
        <v>37</v>
      </c>
      <c r="G628">
        <v>2</v>
      </c>
      <c r="H628">
        <v>657.48</v>
      </c>
      <c r="I628" t="s">
        <v>1646</v>
      </c>
      <c r="J628" t="s">
        <v>32</v>
      </c>
      <c r="K628" t="s">
        <v>23</v>
      </c>
      <c r="L628" t="s">
        <v>2364</v>
      </c>
      <c r="M628">
        <v>5</v>
      </c>
      <c r="N628" t="s">
        <v>25</v>
      </c>
      <c r="O628" t="s">
        <v>34</v>
      </c>
      <c r="P628">
        <v>1314.96</v>
      </c>
      <c r="Q628">
        <v>1314.96</v>
      </c>
      <c r="R628" t="str">
        <f>IF(OR(P628&lt;Outliers!$B$5, P628&gt;Outliers!$B$6), "outliers", "")</f>
        <v/>
      </c>
    </row>
    <row r="629" spans="1:18" x14ac:dyDescent="0.25">
      <c r="A629" t="s">
        <v>2365</v>
      </c>
      <c r="B629" s="1">
        <v>45144</v>
      </c>
      <c r="C629">
        <v>2023</v>
      </c>
      <c r="D629" t="s">
        <v>28</v>
      </c>
      <c r="E629" t="s">
        <v>2366</v>
      </c>
      <c r="F629" t="s">
        <v>47</v>
      </c>
      <c r="G629">
        <v>3</v>
      </c>
      <c r="H629">
        <v>498.68</v>
      </c>
      <c r="I629" t="s">
        <v>2073</v>
      </c>
      <c r="J629" t="s">
        <v>32</v>
      </c>
      <c r="K629" t="s">
        <v>49</v>
      </c>
      <c r="L629" t="s">
        <v>2367</v>
      </c>
      <c r="M629">
        <v>4</v>
      </c>
      <c r="N629" t="s">
        <v>42</v>
      </c>
      <c r="O629" t="s">
        <v>43</v>
      </c>
      <c r="P629">
        <v>1496.04</v>
      </c>
      <c r="Q629">
        <v>1496.04</v>
      </c>
      <c r="R629" t="str">
        <f>IF(OR(P629&lt;Outliers!$B$5, P629&gt;Outliers!$B$6), "outliers", "")</f>
        <v/>
      </c>
    </row>
    <row r="630" spans="1:18" x14ac:dyDescent="0.25">
      <c r="A630" t="s">
        <v>2368</v>
      </c>
      <c r="B630" s="1">
        <v>45011</v>
      </c>
      <c r="C630">
        <v>2023</v>
      </c>
      <c r="D630" t="s">
        <v>18</v>
      </c>
      <c r="E630" t="s">
        <v>2369</v>
      </c>
      <c r="F630" t="s">
        <v>55</v>
      </c>
      <c r="G630">
        <v>5</v>
      </c>
      <c r="H630">
        <v>558.63</v>
      </c>
      <c r="I630" t="s">
        <v>2370</v>
      </c>
      <c r="J630" t="s">
        <v>72</v>
      </c>
      <c r="K630" t="s">
        <v>96</v>
      </c>
      <c r="L630" t="s">
        <v>2371</v>
      </c>
      <c r="M630">
        <v>8</v>
      </c>
      <c r="N630" t="s">
        <v>42</v>
      </c>
      <c r="O630" t="s">
        <v>34</v>
      </c>
      <c r="P630">
        <v>2793.15</v>
      </c>
      <c r="Q630">
        <v>2793.15</v>
      </c>
      <c r="R630" t="str">
        <f>IF(OR(P630&lt;Outliers!$B$5, P630&gt;Outliers!$B$6), "outliers", "")</f>
        <v/>
      </c>
    </row>
    <row r="631" spans="1:18" x14ac:dyDescent="0.25">
      <c r="A631" t="s">
        <v>2372</v>
      </c>
      <c r="B631" s="1">
        <v>45114</v>
      </c>
      <c r="C631">
        <v>2023</v>
      </c>
      <c r="D631" t="s">
        <v>28</v>
      </c>
      <c r="E631" t="s">
        <v>2373</v>
      </c>
      <c r="F631" t="s">
        <v>30</v>
      </c>
      <c r="G631">
        <v>3</v>
      </c>
      <c r="H631">
        <v>19.73</v>
      </c>
      <c r="I631" t="s">
        <v>2374</v>
      </c>
      <c r="J631" t="s">
        <v>32</v>
      </c>
      <c r="K631" t="s">
        <v>96</v>
      </c>
      <c r="L631" t="s">
        <v>2375</v>
      </c>
      <c r="M631">
        <v>3</v>
      </c>
      <c r="O631" t="s">
        <v>34</v>
      </c>
      <c r="P631">
        <v>59.19</v>
      </c>
      <c r="Q631">
        <v>59.19</v>
      </c>
      <c r="R631" t="str">
        <f>IF(OR(P631&lt;Outliers!$B$5, P631&gt;Outliers!$B$6), "outliers", "")</f>
        <v/>
      </c>
    </row>
    <row r="632" spans="1:18" x14ac:dyDescent="0.25">
      <c r="A632" t="s">
        <v>2376</v>
      </c>
      <c r="B632" s="1">
        <v>45100</v>
      </c>
      <c r="C632">
        <v>2023</v>
      </c>
      <c r="D632" t="s">
        <v>53</v>
      </c>
      <c r="E632" t="s">
        <v>2377</v>
      </c>
      <c r="F632" t="s">
        <v>20</v>
      </c>
      <c r="G632">
        <v>5</v>
      </c>
      <c r="H632">
        <v>248.84</v>
      </c>
      <c r="I632" t="s">
        <v>2378</v>
      </c>
      <c r="J632" t="s">
        <v>22</v>
      </c>
      <c r="K632" t="s">
        <v>40</v>
      </c>
      <c r="L632" t="s">
        <v>2379</v>
      </c>
      <c r="M632">
        <v>10</v>
      </c>
      <c r="O632" t="s">
        <v>26</v>
      </c>
      <c r="P632">
        <v>1244.2</v>
      </c>
      <c r="Q632">
        <v>1244.2</v>
      </c>
      <c r="R632" t="str">
        <f>IF(OR(P632&lt;Outliers!$B$5, P632&gt;Outliers!$B$6), "outliers", "")</f>
        <v/>
      </c>
    </row>
    <row r="633" spans="1:18" x14ac:dyDescent="0.25">
      <c r="A633" t="s">
        <v>2380</v>
      </c>
      <c r="B633" s="1">
        <v>45535</v>
      </c>
      <c r="C633">
        <v>2024</v>
      </c>
      <c r="D633" t="s">
        <v>28</v>
      </c>
      <c r="E633" t="s">
        <v>2381</v>
      </c>
      <c r="F633" t="s">
        <v>47</v>
      </c>
      <c r="G633">
        <v>3</v>
      </c>
      <c r="H633">
        <v>46.11</v>
      </c>
      <c r="I633" t="s">
        <v>1108</v>
      </c>
      <c r="J633" t="s">
        <v>67</v>
      </c>
      <c r="K633" t="s">
        <v>49</v>
      </c>
      <c r="L633" t="s">
        <v>2382</v>
      </c>
      <c r="M633">
        <v>5</v>
      </c>
      <c r="N633" t="s">
        <v>88</v>
      </c>
      <c r="O633" t="s">
        <v>34</v>
      </c>
      <c r="P633">
        <v>138.33000000000001</v>
      </c>
      <c r="Q633">
        <v>138.33000000000001</v>
      </c>
      <c r="R633" t="str">
        <f>IF(OR(P633&lt;Outliers!$B$5, P633&gt;Outliers!$B$6), "outliers", "")</f>
        <v/>
      </c>
    </row>
    <row r="634" spans="1:18" x14ac:dyDescent="0.25">
      <c r="A634" t="s">
        <v>2383</v>
      </c>
      <c r="B634" s="1">
        <v>45048</v>
      </c>
      <c r="C634">
        <v>2023</v>
      </c>
      <c r="D634" t="s">
        <v>53</v>
      </c>
      <c r="E634" t="s">
        <v>2384</v>
      </c>
      <c r="F634" t="s">
        <v>65</v>
      </c>
      <c r="G634">
        <v>5</v>
      </c>
      <c r="H634">
        <v>678.16</v>
      </c>
      <c r="I634" t="s">
        <v>1035</v>
      </c>
      <c r="J634" t="s">
        <v>67</v>
      </c>
      <c r="K634" t="s">
        <v>57</v>
      </c>
      <c r="L634" t="s">
        <v>2385</v>
      </c>
      <c r="M634">
        <v>7</v>
      </c>
      <c r="N634" t="s">
        <v>88</v>
      </c>
      <c r="O634" t="s">
        <v>51</v>
      </c>
      <c r="P634">
        <v>3390.8</v>
      </c>
      <c r="Q634">
        <v>3390.8</v>
      </c>
      <c r="R634" t="str">
        <f>IF(OR(P634&lt;Outliers!$B$5, P634&gt;Outliers!$B$6), "outliers", "")</f>
        <v>outliers</v>
      </c>
    </row>
    <row r="635" spans="1:18" x14ac:dyDescent="0.25">
      <c r="A635" t="s">
        <v>2386</v>
      </c>
      <c r="B635" s="1">
        <v>45392</v>
      </c>
      <c r="C635">
        <v>2024</v>
      </c>
      <c r="D635" t="s">
        <v>53</v>
      </c>
      <c r="E635" t="s">
        <v>2387</v>
      </c>
      <c r="F635" t="s">
        <v>65</v>
      </c>
      <c r="G635">
        <v>5</v>
      </c>
      <c r="H635">
        <v>601.72</v>
      </c>
      <c r="I635" t="s">
        <v>1545</v>
      </c>
      <c r="J635" t="s">
        <v>67</v>
      </c>
      <c r="K635" t="s">
        <v>40</v>
      </c>
      <c r="L635" t="s">
        <v>2388</v>
      </c>
      <c r="M635">
        <v>5</v>
      </c>
      <c r="N635" t="s">
        <v>88</v>
      </c>
      <c r="O635" t="s">
        <v>26</v>
      </c>
      <c r="P635">
        <v>3008.6</v>
      </c>
      <c r="Q635">
        <v>3008.6</v>
      </c>
      <c r="R635" t="str">
        <f>IF(OR(P635&lt;Outliers!$B$5, P635&gt;Outliers!$B$6), "outliers", "")</f>
        <v/>
      </c>
    </row>
    <row r="636" spans="1:18" x14ac:dyDescent="0.25">
      <c r="A636" t="s">
        <v>2389</v>
      </c>
      <c r="B636" s="1">
        <v>45407</v>
      </c>
      <c r="C636">
        <v>2024</v>
      </c>
      <c r="D636" t="s">
        <v>53</v>
      </c>
      <c r="E636" t="s">
        <v>2390</v>
      </c>
      <c r="F636" t="s">
        <v>55</v>
      </c>
      <c r="G636">
        <v>2</v>
      </c>
      <c r="H636">
        <v>259.32</v>
      </c>
      <c r="I636" t="s">
        <v>2391</v>
      </c>
      <c r="J636" t="s">
        <v>67</v>
      </c>
      <c r="K636" t="s">
        <v>57</v>
      </c>
      <c r="L636" t="s">
        <v>2392</v>
      </c>
      <c r="M636">
        <v>2</v>
      </c>
      <c r="N636" t="s">
        <v>88</v>
      </c>
      <c r="O636" t="s">
        <v>34</v>
      </c>
      <c r="P636">
        <v>518.64</v>
      </c>
      <c r="Q636">
        <v>518.64</v>
      </c>
      <c r="R636" t="str">
        <f>IF(OR(P636&lt;Outliers!$B$5, P636&gt;Outliers!$B$6), "outliers", "")</f>
        <v/>
      </c>
    </row>
    <row r="637" spans="1:18" x14ac:dyDescent="0.25">
      <c r="A637" t="s">
        <v>2393</v>
      </c>
      <c r="B637" s="1">
        <v>45273</v>
      </c>
      <c r="C637">
        <v>2023</v>
      </c>
      <c r="D637" t="s">
        <v>45</v>
      </c>
      <c r="E637" t="s">
        <v>2394</v>
      </c>
      <c r="F637" t="s">
        <v>47</v>
      </c>
      <c r="G637">
        <v>3</v>
      </c>
      <c r="H637">
        <v>63.68</v>
      </c>
      <c r="I637" t="s">
        <v>249</v>
      </c>
      <c r="J637" t="s">
        <v>72</v>
      </c>
      <c r="K637" t="s">
        <v>49</v>
      </c>
      <c r="L637" t="s">
        <v>2395</v>
      </c>
      <c r="M637">
        <v>6</v>
      </c>
      <c r="O637" t="s">
        <v>51</v>
      </c>
      <c r="P637">
        <v>191.04</v>
      </c>
      <c r="Q637">
        <v>191.04</v>
      </c>
      <c r="R637" t="str">
        <f>IF(OR(P637&lt;Outliers!$B$5, P637&gt;Outliers!$B$6), "outliers", "")</f>
        <v/>
      </c>
    </row>
    <row r="638" spans="1:18" x14ac:dyDescent="0.25">
      <c r="A638" t="s">
        <v>2396</v>
      </c>
      <c r="B638" s="1">
        <v>45204</v>
      </c>
      <c r="C638">
        <v>2023</v>
      </c>
      <c r="D638" t="s">
        <v>45</v>
      </c>
      <c r="E638" t="s">
        <v>2397</v>
      </c>
      <c r="F638" t="s">
        <v>65</v>
      </c>
      <c r="G638">
        <v>4</v>
      </c>
      <c r="H638">
        <v>371.07</v>
      </c>
      <c r="I638" t="s">
        <v>715</v>
      </c>
      <c r="J638" t="s">
        <v>72</v>
      </c>
      <c r="K638" t="s">
        <v>40</v>
      </c>
      <c r="L638" t="s">
        <v>2398</v>
      </c>
      <c r="M638">
        <v>7</v>
      </c>
      <c r="N638" t="s">
        <v>88</v>
      </c>
      <c r="O638" t="s">
        <v>51</v>
      </c>
      <c r="P638">
        <v>1484.28</v>
      </c>
      <c r="Q638">
        <v>1484.28</v>
      </c>
      <c r="R638" t="str">
        <f>IF(OR(P638&lt;Outliers!$B$5, P638&gt;Outliers!$B$6), "outliers", "")</f>
        <v/>
      </c>
    </row>
    <row r="639" spans="1:18" x14ac:dyDescent="0.25">
      <c r="A639" t="s">
        <v>2399</v>
      </c>
      <c r="B639" s="1">
        <v>45564</v>
      </c>
      <c r="C639">
        <v>2024</v>
      </c>
      <c r="D639" t="s">
        <v>28</v>
      </c>
      <c r="E639" t="s">
        <v>2400</v>
      </c>
      <c r="F639" t="s">
        <v>47</v>
      </c>
      <c r="G639">
        <v>4</v>
      </c>
      <c r="H639">
        <v>306.35000000000002</v>
      </c>
      <c r="I639" t="s">
        <v>2401</v>
      </c>
      <c r="J639" t="s">
        <v>67</v>
      </c>
      <c r="K639" t="s">
        <v>23</v>
      </c>
      <c r="L639" t="s">
        <v>2402</v>
      </c>
      <c r="M639">
        <v>7</v>
      </c>
      <c r="N639" t="s">
        <v>88</v>
      </c>
      <c r="O639" t="s">
        <v>34</v>
      </c>
      <c r="P639">
        <v>1225.4000000000001</v>
      </c>
      <c r="Q639">
        <v>1225.4000000000001</v>
      </c>
      <c r="R639" t="str">
        <f>IF(OR(P639&lt;Outliers!$B$5, P639&gt;Outliers!$B$6), "outliers", "")</f>
        <v/>
      </c>
    </row>
    <row r="640" spans="1:18" x14ac:dyDescent="0.25">
      <c r="A640" t="s">
        <v>2403</v>
      </c>
      <c r="B640" s="1">
        <v>45214</v>
      </c>
      <c r="C640">
        <v>2023</v>
      </c>
      <c r="D640" t="s">
        <v>45</v>
      </c>
      <c r="E640" t="s">
        <v>2404</v>
      </c>
      <c r="F640" t="s">
        <v>37</v>
      </c>
      <c r="G640">
        <v>4</v>
      </c>
      <c r="H640">
        <v>578.27</v>
      </c>
      <c r="I640" t="s">
        <v>2405</v>
      </c>
      <c r="J640" t="s">
        <v>32</v>
      </c>
      <c r="K640" t="s">
        <v>57</v>
      </c>
      <c r="L640" t="s">
        <v>2406</v>
      </c>
      <c r="M640">
        <v>9</v>
      </c>
      <c r="N640" t="s">
        <v>88</v>
      </c>
      <c r="O640" t="s">
        <v>43</v>
      </c>
      <c r="P640">
        <v>2313.08</v>
      </c>
      <c r="Q640">
        <v>2313.08</v>
      </c>
      <c r="R640" t="str">
        <f>IF(OR(P640&lt;Outliers!$B$5, P640&gt;Outliers!$B$6), "outliers", "")</f>
        <v/>
      </c>
    </row>
    <row r="641" spans="1:18" x14ac:dyDescent="0.25">
      <c r="A641" t="s">
        <v>2407</v>
      </c>
      <c r="B641" s="1">
        <v>44946</v>
      </c>
      <c r="C641">
        <v>2023</v>
      </c>
      <c r="D641" t="s">
        <v>18</v>
      </c>
      <c r="E641" t="s">
        <v>2408</v>
      </c>
      <c r="F641" t="s">
        <v>47</v>
      </c>
      <c r="G641">
        <v>1</v>
      </c>
      <c r="H641">
        <v>529.19000000000005</v>
      </c>
      <c r="I641" t="s">
        <v>1805</v>
      </c>
      <c r="J641" t="s">
        <v>72</v>
      </c>
      <c r="K641" t="s">
        <v>40</v>
      </c>
      <c r="L641" t="s">
        <v>2409</v>
      </c>
      <c r="M641">
        <v>5</v>
      </c>
      <c r="O641" t="s">
        <v>34</v>
      </c>
      <c r="P641">
        <v>529.19000000000005</v>
      </c>
      <c r="Q641">
        <v>529.19000000000005</v>
      </c>
      <c r="R641" t="str">
        <f>IF(OR(P641&lt;Outliers!$B$5, P641&gt;Outliers!$B$6), "outliers", "")</f>
        <v/>
      </c>
    </row>
    <row r="642" spans="1:18" x14ac:dyDescent="0.25">
      <c r="A642" t="s">
        <v>2410</v>
      </c>
      <c r="B642" s="1">
        <v>45349</v>
      </c>
      <c r="C642">
        <v>2024</v>
      </c>
      <c r="D642" t="s">
        <v>18</v>
      </c>
      <c r="E642" t="s">
        <v>2411</v>
      </c>
      <c r="F642" t="s">
        <v>47</v>
      </c>
      <c r="G642">
        <v>2</v>
      </c>
      <c r="H642">
        <v>587.49</v>
      </c>
      <c r="I642" t="s">
        <v>457</v>
      </c>
      <c r="J642" t="s">
        <v>67</v>
      </c>
      <c r="K642" t="s">
        <v>49</v>
      </c>
      <c r="L642" t="s">
        <v>2412</v>
      </c>
      <c r="M642">
        <v>6</v>
      </c>
      <c r="N642" t="s">
        <v>25</v>
      </c>
      <c r="O642" t="s">
        <v>34</v>
      </c>
      <c r="P642">
        <v>1174.98</v>
      </c>
      <c r="Q642">
        <v>1174.98</v>
      </c>
      <c r="R642" t="str">
        <f>IF(OR(P642&lt;Outliers!$B$5, P642&gt;Outliers!$B$6), "outliers", "")</f>
        <v/>
      </c>
    </row>
    <row r="643" spans="1:18" x14ac:dyDescent="0.25">
      <c r="A643" t="s">
        <v>2413</v>
      </c>
      <c r="B643" s="1">
        <v>45473</v>
      </c>
      <c r="C643">
        <v>2024</v>
      </c>
      <c r="D643" t="s">
        <v>53</v>
      </c>
      <c r="E643" t="s">
        <v>2414</v>
      </c>
      <c r="F643" t="s">
        <v>55</v>
      </c>
      <c r="G643">
        <v>4</v>
      </c>
      <c r="H643">
        <v>567.57000000000005</v>
      </c>
      <c r="I643" t="s">
        <v>1018</v>
      </c>
      <c r="J643" t="s">
        <v>22</v>
      </c>
      <c r="K643" t="s">
        <v>96</v>
      </c>
      <c r="L643" t="s">
        <v>2415</v>
      </c>
      <c r="M643">
        <v>9</v>
      </c>
      <c r="N643" t="s">
        <v>88</v>
      </c>
      <c r="O643" t="s">
        <v>83</v>
      </c>
      <c r="P643">
        <v>2270.2800000000002</v>
      </c>
      <c r="Q643">
        <v>2270.2800000000002</v>
      </c>
      <c r="R643" t="str">
        <f>IF(OR(P643&lt;Outliers!$B$5, P643&gt;Outliers!$B$6), "outliers", "")</f>
        <v/>
      </c>
    </row>
    <row r="644" spans="1:18" x14ac:dyDescent="0.25">
      <c r="A644" t="s">
        <v>2416</v>
      </c>
      <c r="B644" s="1">
        <v>45411</v>
      </c>
      <c r="C644">
        <v>2024</v>
      </c>
      <c r="D644" t="s">
        <v>53</v>
      </c>
      <c r="E644" t="s">
        <v>2417</v>
      </c>
      <c r="F644" t="s">
        <v>47</v>
      </c>
      <c r="G644">
        <v>5</v>
      </c>
      <c r="H644">
        <v>85.22</v>
      </c>
      <c r="I644" t="s">
        <v>2418</v>
      </c>
      <c r="J644" t="s">
        <v>39</v>
      </c>
      <c r="K644" t="s">
        <v>40</v>
      </c>
      <c r="L644" t="s">
        <v>2419</v>
      </c>
      <c r="M644">
        <v>7</v>
      </c>
      <c r="N644" t="s">
        <v>42</v>
      </c>
      <c r="O644" t="s">
        <v>43</v>
      </c>
      <c r="P644">
        <v>426.1</v>
      </c>
      <c r="Q644">
        <v>426.1</v>
      </c>
      <c r="R644" t="str">
        <f>IF(OR(P644&lt;Outliers!$B$5, P644&gt;Outliers!$B$6), "outliers", "")</f>
        <v/>
      </c>
    </row>
    <row r="645" spans="1:18" x14ac:dyDescent="0.25">
      <c r="A645" t="s">
        <v>2420</v>
      </c>
      <c r="B645" s="1">
        <v>45530</v>
      </c>
      <c r="C645">
        <v>2024</v>
      </c>
      <c r="D645" t="s">
        <v>28</v>
      </c>
      <c r="E645" t="s">
        <v>2421</v>
      </c>
      <c r="F645" t="s">
        <v>65</v>
      </c>
      <c r="G645">
        <v>1</v>
      </c>
      <c r="H645">
        <v>438.37</v>
      </c>
      <c r="I645" t="s">
        <v>457</v>
      </c>
      <c r="J645" t="s">
        <v>72</v>
      </c>
      <c r="K645" t="s">
        <v>40</v>
      </c>
      <c r="L645" t="s">
        <v>2422</v>
      </c>
      <c r="M645">
        <v>4</v>
      </c>
      <c r="N645" t="s">
        <v>25</v>
      </c>
      <c r="O645" t="s">
        <v>34</v>
      </c>
      <c r="P645">
        <v>438.37</v>
      </c>
      <c r="Q645">
        <v>438.37</v>
      </c>
      <c r="R645" t="str">
        <f>IF(OR(P645&lt;Outliers!$B$5, P645&gt;Outliers!$B$6), "outliers", "")</f>
        <v/>
      </c>
    </row>
    <row r="646" spans="1:18" x14ac:dyDescent="0.25">
      <c r="A646" t="s">
        <v>2423</v>
      </c>
      <c r="B646" s="1">
        <v>45245</v>
      </c>
      <c r="C646">
        <v>2023</v>
      </c>
      <c r="D646" t="s">
        <v>45</v>
      </c>
      <c r="E646" t="s">
        <v>2424</v>
      </c>
      <c r="F646" t="s">
        <v>47</v>
      </c>
      <c r="G646">
        <v>2</v>
      </c>
      <c r="H646">
        <v>366.23</v>
      </c>
      <c r="I646" t="s">
        <v>2425</v>
      </c>
      <c r="J646" t="s">
        <v>72</v>
      </c>
      <c r="K646" t="s">
        <v>23</v>
      </c>
      <c r="L646" t="s">
        <v>2426</v>
      </c>
      <c r="M646">
        <v>2</v>
      </c>
      <c r="N646" t="s">
        <v>88</v>
      </c>
      <c r="O646" t="s">
        <v>43</v>
      </c>
      <c r="P646">
        <v>732.46</v>
      </c>
      <c r="Q646">
        <v>732.46</v>
      </c>
      <c r="R646" t="str">
        <f>IF(OR(P646&lt;Outliers!$B$5, P646&gt;Outliers!$B$6), "outliers", "")</f>
        <v/>
      </c>
    </row>
    <row r="647" spans="1:18" x14ac:dyDescent="0.25">
      <c r="A647" t="s">
        <v>2427</v>
      </c>
      <c r="B647" s="1">
        <v>44928</v>
      </c>
      <c r="C647">
        <v>2023</v>
      </c>
      <c r="D647" t="s">
        <v>18</v>
      </c>
      <c r="E647" t="s">
        <v>2428</v>
      </c>
      <c r="F647" t="s">
        <v>65</v>
      </c>
      <c r="G647">
        <v>2</v>
      </c>
      <c r="H647">
        <v>150.05000000000001</v>
      </c>
      <c r="I647" t="s">
        <v>532</v>
      </c>
      <c r="J647" t="s">
        <v>39</v>
      </c>
      <c r="K647" t="s">
        <v>40</v>
      </c>
      <c r="L647" t="s">
        <v>2429</v>
      </c>
      <c r="M647">
        <v>4</v>
      </c>
      <c r="N647" t="s">
        <v>25</v>
      </c>
      <c r="O647" t="s">
        <v>51</v>
      </c>
      <c r="P647">
        <v>300.10000000000002</v>
      </c>
      <c r="Q647">
        <v>300.10000000000002</v>
      </c>
      <c r="R647" t="str">
        <f>IF(OR(P647&lt;Outliers!$B$5, P647&gt;Outliers!$B$6), "outliers", "")</f>
        <v/>
      </c>
    </row>
    <row r="648" spans="1:18" x14ac:dyDescent="0.25">
      <c r="A648" t="s">
        <v>2430</v>
      </c>
      <c r="B648" s="1">
        <v>45226</v>
      </c>
      <c r="C648">
        <v>2023</v>
      </c>
      <c r="D648" t="s">
        <v>45</v>
      </c>
      <c r="E648" t="s">
        <v>2431</v>
      </c>
      <c r="F648" t="s">
        <v>47</v>
      </c>
      <c r="G648">
        <v>4</v>
      </c>
      <c r="H648">
        <v>498.51</v>
      </c>
      <c r="I648" t="s">
        <v>2432</v>
      </c>
      <c r="J648" t="s">
        <v>22</v>
      </c>
      <c r="K648" t="s">
        <v>23</v>
      </c>
      <c r="L648" t="s">
        <v>2433</v>
      </c>
      <c r="M648">
        <v>4</v>
      </c>
      <c r="N648" t="s">
        <v>25</v>
      </c>
      <c r="O648" t="s">
        <v>83</v>
      </c>
      <c r="P648">
        <v>1994.04</v>
      </c>
      <c r="Q648">
        <v>1994.04</v>
      </c>
      <c r="R648" t="str">
        <f>IF(OR(P648&lt;Outliers!$B$5, P648&gt;Outliers!$B$6), "outliers", "")</f>
        <v/>
      </c>
    </row>
    <row r="649" spans="1:18" x14ac:dyDescent="0.25">
      <c r="A649" t="s">
        <v>2434</v>
      </c>
      <c r="B649" s="1">
        <v>45771</v>
      </c>
      <c r="C649">
        <v>2025</v>
      </c>
      <c r="D649" t="s">
        <v>53</v>
      </c>
      <c r="E649" t="s">
        <v>2435</v>
      </c>
      <c r="F649" t="s">
        <v>80</v>
      </c>
      <c r="G649">
        <v>3</v>
      </c>
      <c r="H649">
        <v>339.39</v>
      </c>
      <c r="I649" t="s">
        <v>688</v>
      </c>
      <c r="J649" t="s">
        <v>72</v>
      </c>
      <c r="K649" t="s">
        <v>49</v>
      </c>
      <c r="L649" t="s">
        <v>2436</v>
      </c>
      <c r="M649">
        <v>7</v>
      </c>
      <c r="N649" t="s">
        <v>42</v>
      </c>
      <c r="O649" t="s">
        <v>83</v>
      </c>
      <c r="P649">
        <v>1018.17</v>
      </c>
      <c r="Q649">
        <v>1018.17</v>
      </c>
      <c r="R649" t="str">
        <f>IF(OR(P649&lt;Outliers!$B$5, P649&gt;Outliers!$B$6), "outliers", "")</f>
        <v/>
      </c>
    </row>
    <row r="650" spans="1:18" x14ac:dyDescent="0.25">
      <c r="A650" t="s">
        <v>2437</v>
      </c>
      <c r="B650" s="1">
        <v>45675</v>
      </c>
      <c r="C650">
        <v>2025</v>
      </c>
      <c r="D650" t="s">
        <v>18</v>
      </c>
      <c r="E650" t="s">
        <v>2438</v>
      </c>
      <c r="F650" t="s">
        <v>20</v>
      </c>
      <c r="G650">
        <v>2</v>
      </c>
      <c r="H650">
        <v>575.83000000000004</v>
      </c>
      <c r="I650" t="s">
        <v>2439</v>
      </c>
      <c r="J650" t="s">
        <v>32</v>
      </c>
      <c r="K650" t="s">
        <v>57</v>
      </c>
      <c r="L650" t="s">
        <v>2440</v>
      </c>
      <c r="M650">
        <v>3</v>
      </c>
      <c r="N650" t="s">
        <v>88</v>
      </c>
      <c r="O650" t="s">
        <v>34</v>
      </c>
      <c r="P650">
        <v>1151.6600000000001</v>
      </c>
      <c r="Q650">
        <v>1151.6600000000001</v>
      </c>
      <c r="R650" t="str">
        <f>IF(OR(P650&lt;Outliers!$B$5, P650&gt;Outliers!$B$6), "outliers", "")</f>
        <v/>
      </c>
    </row>
    <row r="651" spans="1:18" x14ac:dyDescent="0.25">
      <c r="A651" t="s">
        <v>2441</v>
      </c>
      <c r="B651" s="1">
        <v>45283</v>
      </c>
      <c r="C651">
        <v>2023</v>
      </c>
      <c r="D651" t="s">
        <v>45</v>
      </c>
      <c r="E651" t="s">
        <v>2442</v>
      </c>
      <c r="F651" t="s">
        <v>20</v>
      </c>
      <c r="G651">
        <v>2</v>
      </c>
      <c r="H651">
        <v>642.98</v>
      </c>
      <c r="I651" t="s">
        <v>1050</v>
      </c>
      <c r="J651" t="s">
        <v>22</v>
      </c>
      <c r="K651" t="s">
        <v>49</v>
      </c>
      <c r="L651" t="s">
        <v>2443</v>
      </c>
      <c r="M651">
        <v>7</v>
      </c>
      <c r="N651" t="s">
        <v>42</v>
      </c>
      <c r="O651" t="s">
        <v>43</v>
      </c>
      <c r="P651">
        <v>1285.96</v>
      </c>
      <c r="Q651">
        <v>1285.96</v>
      </c>
      <c r="R651" t="str">
        <f>IF(OR(P651&lt;Outliers!$B$5, P651&gt;Outliers!$B$6), "outliers", "")</f>
        <v/>
      </c>
    </row>
    <row r="652" spans="1:18" x14ac:dyDescent="0.25">
      <c r="A652" t="s">
        <v>2444</v>
      </c>
      <c r="B652" s="1">
        <v>45064</v>
      </c>
      <c r="C652">
        <v>2023</v>
      </c>
      <c r="D652" t="s">
        <v>53</v>
      </c>
      <c r="E652" t="s">
        <v>2445</v>
      </c>
      <c r="F652" t="s">
        <v>80</v>
      </c>
      <c r="G652">
        <v>2</v>
      </c>
      <c r="H652">
        <v>372.23</v>
      </c>
      <c r="I652" t="s">
        <v>2446</v>
      </c>
      <c r="J652" t="s">
        <v>67</v>
      </c>
      <c r="K652" t="s">
        <v>57</v>
      </c>
      <c r="L652" t="s">
        <v>2447</v>
      </c>
      <c r="M652">
        <v>7</v>
      </c>
      <c r="N652" t="s">
        <v>25</v>
      </c>
      <c r="O652" t="s">
        <v>43</v>
      </c>
      <c r="P652">
        <v>744.46</v>
      </c>
      <c r="Q652">
        <v>744.46</v>
      </c>
      <c r="R652" t="str">
        <f>IF(OR(P652&lt;Outliers!$B$5, P652&gt;Outliers!$B$6), "outliers", "")</f>
        <v/>
      </c>
    </row>
    <row r="653" spans="1:18" x14ac:dyDescent="0.25">
      <c r="A653" t="s">
        <v>2448</v>
      </c>
      <c r="B653" s="1">
        <v>45608</v>
      </c>
      <c r="C653">
        <v>2024</v>
      </c>
      <c r="D653" t="s">
        <v>45</v>
      </c>
      <c r="E653" t="s">
        <v>2449</v>
      </c>
      <c r="F653" t="s">
        <v>47</v>
      </c>
      <c r="G653">
        <v>3</v>
      </c>
      <c r="H653">
        <v>646.34</v>
      </c>
      <c r="I653" t="s">
        <v>801</v>
      </c>
      <c r="J653" t="s">
        <v>22</v>
      </c>
      <c r="K653" t="s">
        <v>96</v>
      </c>
      <c r="L653" t="s">
        <v>2450</v>
      </c>
      <c r="M653">
        <v>5</v>
      </c>
      <c r="O653" t="s">
        <v>83</v>
      </c>
      <c r="P653">
        <v>1939.02</v>
      </c>
      <c r="Q653">
        <v>1939.02</v>
      </c>
      <c r="R653" t="str">
        <f>IF(OR(P653&lt;Outliers!$B$5, P653&gt;Outliers!$B$6), "outliers", "")</f>
        <v/>
      </c>
    </row>
    <row r="654" spans="1:18" x14ac:dyDescent="0.25">
      <c r="A654" t="s">
        <v>2451</v>
      </c>
      <c r="B654" s="1">
        <v>45448</v>
      </c>
      <c r="C654">
        <v>2024</v>
      </c>
      <c r="D654" t="s">
        <v>53</v>
      </c>
      <c r="E654" t="s">
        <v>2452</v>
      </c>
      <c r="F654" t="s">
        <v>47</v>
      </c>
      <c r="G654">
        <v>5</v>
      </c>
      <c r="H654">
        <v>341.84</v>
      </c>
      <c r="I654" t="s">
        <v>2453</v>
      </c>
      <c r="J654" t="s">
        <v>32</v>
      </c>
      <c r="K654" t="s">
        <v>23</v>
      </c>
      <c r="L654" t="s">
        <v>2454</v>
      </c>
      <c r="M654">
        <v>8</v>
      </c>
      <c r="N654" t="s">
        <v>42</v>
      </c>
      <c r="O654" t="s">
        <v>26</v>
      </c>
      <c r="P654">
        <v>1709.2</v>
      </c>
      <c r="Q654">
        <v>1709.2</v>
      </c>
      <c r="R654" t="str">
        <f>IF(OR(P654&lt;Outliers!$B$5, P654&gt;Outliers!$B$6), "outliers", "")</f>
        <v/>
      </c>
    </row>
    <row r="655" spans="1:18" x14ac:dyDescent="0.25">
      <c r="A655" t="s">
        <v>2455</v>
      </c>
      <c r="B655" s="1">
        <v>45347</v>
      </c>
      <c r="C655">
        <v>2024</v>
      </c>
      <c r="D655" t="s">
        <v>18</v>
      </c>
      <c r="E655" t="s">
        <v>2456</v>
      </c>
      <c r="F655" t="s">
        <v>55</v>
      </c>
      <c r="G655">
        <v>3</v>
      </c>
      <c r="H655">
        <v>690.3</v>
      </c>
      <c r="I655" t="s">
        <v>1422</v>
      </c>
      <c r="J655" t="s">
        <v>39</v>
      </c>
      <c r="K655" t="s">
        <v>23</v>
      </c>
      <c r="L655" t="s">
        <v>2457</v>
      </c>
      <c r="M655">
        <v>6</v>
      </c>
      <c r="N655" t="s">
        <v>88</v>
      </c>
      <c r="O655" t="s">
        <v>83</v>
      </c>
      <c r="P655">
        <v>2070.9</v>
      </c>
      <c r="Q655">
        <v>2070.9</v>
      </c>
      <c r="R655" t="str">
        <f>IF(OR(P655&lt;Outliers!$B$5, P655&gt;Outliers!$B$6), "outliers", "")</f>
        <v/>
      </c>
    </row>
    <row r="656" spans="1:18" x14ac:dyDescent="0.25">
      <c r="A656" t="s">
        <v>2458</v>
      </c>
      <c r="B656" s="1">
        <v>45089</v>
      </c>
      <c r="C656">
        <v>2023</v>
      </c>
      <c r="D656" t="s">
        <v>53</v>
      </c>
      <c r="E656" t="s">
        <v>2459</v>
      </c>
      <c r="F656" t="s">
        <v>37</v>
      </c>
      <c r="G656">
        <v>3</v>
      </c>
      <c r="H656">
        <v>382.37</v>
      </c>
      <c r="I656" t="s">
        <v>2460</v>
      </c>
      <c r="J656" t="s">
        <v>22</v>
      </c>
      <c r="K656" t="s">
        <v>49</v>
      </c>
      <c r="L656" t="s">
        <v>2461</v>
      </c>
      <c r="M656">
        <v>8</v>
      </c>
      <c r="O656" t="s">
        <v>26</v>
      </c>
      <c r="P656">
        <v>1147.1099999999999</v>
      </c>
      <c r="Q656">
        <v>1147.1099999999999</v>
      </c>
      <c r="R656" t="str">
        <f>IF(OR(P656&lt;Outliers!$B$5, P656&gt;Outliers!$B$6), "outliers", "")</f>
        <v/>
      </c>
    </row>
    <row r="657" spans="1:18" x14ac:dyDescent="0.25">
      <c r="A657" t="s">
        <v>2462</v>
      </c>
      <c r="B657" s="1">
        <v>44999</v>
      </c>
      <c r="C657">
        <v>2023</v>
      </c>
      <c r="D657" t="s">
        <v>18</v>
      </c>
      <c r="E657" t="s">
        <v>2463</v>
      </c>
      <c r="F657" t="s">
        <v>47</v>
      </c>
      <c r="G657">
        <v>2</v>
      </c>
      <c r="H657">
        <v>132.6</v>
      </c>
      <c r="I657" t="s">
        <v>1734</v>
      </c>
      <c r="J657" t="s">
        <v>22</v>
      </c>
      <c r="K657" t="s">
        <v>40</v>
      </c>
      <c r="L657" t="s">
        <v>2464</v>
      </c>
      <c r="M657">
        <v>4</v>
      </c>
      <c r="N657" t="s">
        <v>88</v>
      </c>
      <c r="O657" t="s">
        <v>43</v>
      </c>
      <c r="P657">
        <v>265.2</v>
      </c>
      <c r="Q657">
        <v>265.2</v>
      </c>
      <c r="R657" t="str">
        <f>IF(OR(P657&lt;Outliers!$B$5, P657&gt;Outliers!$B$6), "outliers", "")</f>
        <v/>
      </c>
    </row>
    <row r="658" spans="1:18" x14ac:dyDescent="0.25">
      <c r="A658" t="s">
        <v>2465</v>
      </c>
      <c r="B658" s="1">
        <v>45309</v>
      </c>
      <c r="C658">
        <v>2024</v>
      </c>
      <c r="D658" t="s">
        <v>18</v>
      </c>
      <c r="E658" t="s">
        <v>2466</v>
      </c>
      <c r="F658" t="s">
        <v>20</v>
      </c>
      <c r="G658">
        <v>2</v>
      </c>
      <c r="H658">
        <v>189.06</v>
      </c>
      <c r="I658" t="s">
        <v>2467</v>
      </c>
      <c r="J658" t="s">
        <v>67</v>
      </c>
      <c r="K658" t="s">
        <v>23</v>
      </c>
      <c r="L658" t="s">
        <v>2468</v>
      </c>
      <c r="M658">
        <v>7</v>
      </c>
      <c r="N658" t="s">
        <v>25</v>
      </c>
      <c r="O658" t="s">
        <v>51</v>
      </c>
      <c r="P658">
        <v>378.12</v>
      </c>
      <c r="Q658">
        <v>378.12</v>
      </c>
      <c r="R658" t="str">
        <f>IF(OR(P658&lt;Outliers!$B$5, P658&gt;Outliers!$B$6), "outliers", "")</f>
        <v/>
      </c>
    </row>
    <row r="659" spans="1:18" x14ac:dyDescent="0.25">
      <c r="A659" t="s">
        <v>2469</v>
      </c>
      <c r="B659" s="1">
        <v>45284</v>
      </c>
      <c r="C659">
        <v>2023</v>
      </c>
      <c r="D659" t="s">
        <v>45</v>
      </c>
      <c r="E659" t="s">
        <v>2470</v>
      </c>
      <c r="F659" t="s">
        <v>37</v>
      </c>
      <c r="G659">
        <v>4</v>
      </c>
      <c r="H659">
        <v>87.79</v>
      </c>
      <c r="I659" t="s">
        <v>1313</v>
      </c>
      <c r="J659" t="s">
        <v>72</v>
      </c>
      <c r="K659" t="s">
        <v>40</v>
      </c>
      <c r="L659" t="s">
        <v>2471</v>
      </c>
      <c r="M659">
        <v>6</v>
      </c>
      <c r="N659" t="s">
        <v>42</v>
      </c>
      <c r="O659" t="s">
        <v>26</v>
      </c>
      <c r="P659">
        <v>351.16</v>
      </c>
      <c r="Q659">
        <v>351.16</v>
      </c>
      <c r="R659" t="str">
        <f>IF(OR(P659&lt;Outliers!$B$5, P659&gt;Outliers!$B$6), "outliers", "")</f>
        <v/>
      </c>
    </row>
    <row r="660" spans="1:18" x14ac:dyDescent="0.25">
      <c r="A660" t="s">
        <v>2472</v>
      </c>
      <c r="B660" s="1">
        <v>45765</v>
      </c>
      <c r="C660">
        <v>2025</v>
      </c>
      <c r="D660" t="s">
        <v>53</v>
      </c>
      <c r="E660" t="s">
        <v>2473</v>
      </c>
      <c r="F660" t="s">
        <v>55</v>
      </c>
      <c r="G660">
        <v>2</v>
      </c>
      <c r="H660">
        <v>46.36</v>
      </c>
      <c r="I660" t="s">
        <v>1168</v>
      </c>
      <c r="J660" t="s">
        <v>67</v>
      </c>
      <c r="K660" t="s">
        <v>49</v>
      </c>
      <c r="L660" t="s">
        <v>2474</v>
      </c>
      <c r="M660">
        <v>4</v>
      </c>
      <c r="N660" t="s">
        <v>25</v>
      </c>
      <c r="O660" t="s">
        <v>83</v>
      </c>
      <c r="P660">
        <v>92.72</v>
      </c>
      <c r="Q660">
        <v>92.72</v>
      </c>
      <c r="R660" t="str">
        <f>IF(OR(P660&lt;Outliers!$B$5, P660&gt;Outliers!$B$6), "outliers", "")</f>
        <v/>
      </c>
    </row>
    <row r="661" spans="1:18" x14ac:dyDescent="0.25">
      <c r="A661" t="s">
        <v>2475</v>
      </c>
      <c r="B661" s="1">
        <v>45591</v>
      </c>
      <c r="C661">
        <v>2024</v>
      </c>
      <c r="D661" t="s">
        <v>45</v>
      </c>
      <c r="E661" t="s">
        <v>2476</v>
      </c>
      <c r="F661" t="s">
        <v>30</v>
      </c>
      <c r="G661">
        <v>2</v>
      </c>
      <c r="H661">
        <v>642.04</v>
      </c>
      <c r="I661" t="s">
        <v>2086</v>
      </c>
      <c r="J661" t="s">
        <v>67</v>
      </c>
      <c r="K661" t="s">
        <v>57</v>
      </c>
      <c r="L661" t="s">
        <v>2477</v>
      </c>
      <c r="M661">
        <v>4</v>
      </c>
      <c r="N661" t="s">
        <v>88</v>
      </c>
      <c r="O661" t="s">
        <v>43</v>
      </c>
      <c r="P661">
        <v>1284.08</v>
      </c>
      <c r="Q661">
        <v>1284.08</v>
      </c>
      <c r="R661" t="str">
        <f>IF(OR(P661&lt;Outliers!$B$5, P661&gt;Outliers!$B$6), "outliers", "")</f>
        <v/>
      </c>
    </row>
    <row r="662" spans="1:18" x14ac:dyDescent="0.25">
      <c r="A662" t="s">
        <v>2478</v>
      </c>
      <c r="B662" s="1">
        <v>45584</v>
      </c>
      <c r="C662">
        <v>2024</v>
      </c>
      <c r="D662" t="s">
        <v>45</v>
      </c>
      <c r="E662" t="s">
        <v>2479</v>
      </c>
      <c r="F662" t="s">
        <v>47</v>
      </c>
      <c r="G662">
        <v>2</v>
      </c>
      <c r="H662">
        <v>651.57000000000005</v>
      </c>
      <c r="I662" t="s">
        <v>610</v>
      </c>
      <c r="J662" t="s">
        <v>22</v>
      </c>
      <c r="K662" t="s">
        <v>23</v>
      </c>
      <c r="L662" t="s">
        <v>2480</v>
      </c>
      <c r="M662">
        <v>7</v>
      </c>
      <c r="N662" t="s">
        <v>88</v>
      </c>
      <c r="O662" t="s">
        <v>51</v>
      </c>
      <c r="P662">
        <v>1303.1400000000001</v>
      </c>
      <c r="Q662">
        <v>1303.1400000000001</v>
      </c>
      <c r="R662" t="str">
        <f>IF(OR(P662&lt;Outliers!$B$5, P662&gt;Outliers!$B$6), "outliers", "")</f>
        <v/>
      </c>
    </row>
    <row r="663" spans="1:18" x14ac:dyDescent="0.25">
      <c r="A663" t="s">
        <v>2481</v>
      </c>
      <c r="B663" s="1">
        <v>45716</v>
      </c>
      <c r="C663">
        <v>2025</v>
      </c>
      <c r="D663" t="s">
        <v>18</v>
      </c>
      <c r="E663" t="s">
        <v>2482</v>
      </c>
      <c r="F663" t="s">
        <v>37</v>
      </c>
      <c r="G663">
        <v>3</v>
      </c>
      <c r="H663">
        <v>424.89</v>
      </c>
      <c r="I663" t="s">
        <v>2483</v>
      </c>
      <c r="J663" t="s">
        <v>22</v>
      </c>
      <c r="K663" t="s">
        <v>40</v>
      </c>
      <c r="L663" t="s">
        <v>2484</v>
      </c>
      <c r="M663">
        <v>6</v>
      </c>
      <c r="N663" t="s">
        <v>42</v>
      </c>
      <c r="O663" t="s">
        <v>83</v>
      </c>
      <c r="P663">
        <v>1274.67</v>
      </c>
      <c r="Q663">
        <v>1274.67</v>
      </c>
      <c r="R663" t="str">
        <f>IF(OR(P663&lt;Outliers!$B$5, P663&gt;Outliers!$B$6), "outliers", "")</f>
        <v/>
      </c>
    </row>
    <row r="664" spans="1:18" x14ac:dyDescent="0.25">
      <c r="A664" t="s">
        <v>2485</v>
      </c>
      <c r="B664" s="1">
        <v>44954</v>
      </c>
      <c r="C664">
        <v>2023</v>
      </c>
      <c r="D664" t="s">
        <v>18</v>
      </c>
      <c r="E664" t="s">
        <v>2486</v>
      </c>
      <c r="F664" t="s">
        <v>65</v>
      </c>
      <c r="G664">
        <v>3</v>
      </c>
      <c r="H664">
        <v>438.89</v>
      </c>
      <c r="I664" t="s">
        <v>2487</v>
      </c>
      <c r="J664" t="s">
        <v>72</v>
      </c>
      <c r="K664" t="s">
        <v>49</v>
      </c>
      <c r="L664" t="s">
        <v>2488</v>
      </c>
      <c r="M664">
        <v>3</v>
      </c>
      <c r="O664" t="s">
        <v>51</v>
      </c>
      <c r="P664">
        <v>1316.67</v>
      </c>
      <c r="Q664">
        <v>1316.67</v>
      </c>
      <c r="R664" t="str">
        <f>IF(OR(P664&lt;Outliers!$B$5, P664&gt;Outliers!$B$6), "outliers", "")</f>
        <v/>
      </c>
    </row>
    <row r="665" spans="1:18" x14ac:dyDescent="0.25">
      <c r="A665" t="s">
        <v>2489</v>
      </c>
      <c r="B665" s="1">
        <v>45397</v>
      </c>
      <c r="C665">
        <v>2024</v>
      </c>
      <c r="D665" t="s">
        <v>53</v>
      </c>
      <c r="E665" t="s">
        <v>2490</v>
      </c>
      <c r="F665" t="s">
        <v>20</v>
      </c>
      <c r="G665">
        <v>1</v>
      </c>
      <c r="H665">
        <v>72.599999999999994</v>
      </c>
      <c r="I665" t="s">
        <v>1995</v>
      </c>
      <c r="J665" t="s">
        <v>22</v>
      </c>
      <c r="K665" t="s">
        <v>40</v>
      </c>
      <c r="L665" t="s">
        <v>2491</v>
      </c>
      <c r="M665">
        <v>6</v>
      </c>
      <c r="N665" t="s">
        <v>42</v>
      </c>
      <c r="O665" t="s">
        <v>26</v>
      </c>
      <c r="P665">
        <v>72.599999999999994</v>
      </c>
      <c r="Q665">
        <v>72.599999999999994</v>
      </c>
      <c r="R665" t="str">
        <f>IF(OR(P665&lt;Outliers!$B$5, P665&gt;Outliers!$B$6), "outliers", "")</f>
        <v/>
      </c>
    </row>
    <row r="666" spans="1:18" x14ac:dyDescent="0.25">
      <c r="A666" t="s">
        <v>2492</v>
      </c>
      <c r="B666" s="1">
        <v>45645</v>
      </c>
      <c r="C666">
        <v>2024</v>
      </c>
      <c r="D666" t="s">
        <v>45</v>
      </c>
      <c r="E666" t="s">
        <v>958</v>
      </c>
      <c r="F666" t="s">
        <v>65</v>
      </c>
      <c r="G666">
        <v>4</v>
      </c>
      <c r="H666">
        <v>194.75</v>
      </c>
      <c r="I666" t="s">
        <v>2493</v>
      </c>
      <c r="J666" t="s">
        <v>72</v>
      </c>
      <c r="K666" t="s">
        <v>23</v>
      </c>
      <c r="L666" t="s">
        <v>2494</v>
      </c>
      <c r="M666">
        <v>5</v>
      </c>
      <c r="O666" t="s">
        <v>51</v>
      </c>
      <c r="P666">
        <v>779</v>
      </c>
      <c r="Q666">
        <v>779</v>
      </c>
      <c r="R666" t="str">
        <f>IF(OR(P666&lt;Outliers!$B$5, P666&gt;Outliers!$B$6), "outliers", "")</f>
        <v/>
      </c>
    </row>
    <row r="667" spans="1:18" x14ac:dyDescent="0.25">
      <c r="A667" t="s">
        <v>2495</v>
      </c>
      <c r="B667" s="1">
        <v>45048</v>
      </c>
      <c r="C667">
        <v>2023</v>
      </c>
      <c r="D667" t="s">
        <v>53</v>
      </c>
      <c r="E667" t="s">
        <v>2496</v>
      </c>
      <c r="F667" t="s">
        <v>37</v>
      </c>
      <c r="G667">
        <v>4</v>
      </c>
      <c r="H667">
        <v>231.26</v>
      </c>
      <c r="I667" t="s">
        <v>2497</v>
      </c>
      <c r="J667" t="s">
        <v>32</v>
      </c>
      <c r="K667" t="s">
        <v>23</v>
      </c>
      <c r="L667" t="s">
        <v>2498</v>
      </c>
      <c r="M667">
        <v>6</v>
      </c>
      <c r="N667" t="s">
        <v>88</v>
      </c>
      <c r="O667" t="s">
        <v>83</v>
      </c>
      <c r="P667">
        <v>925.04</v>
      </c>
      <c r="Q667">
        <v>925.04</v>
      </c>
      <c r="R667" t="str">
        <f>IF(OR(P667&lt;Outliers!$B$5, P667&gt;Outliers!$B$6), "outliers", "")</f>
        <v/>
      </c>
    </row>
    <row r="668" spans="1:18" x14ac:dyDescent="0.25">
      <c r="A668" t="s">
        <v>2499</v>
      </c>
      <c r="B668" s="1">
        <v>45535</v>
      </c>
      <c r="C668">
        <v>2024</v>
      </c>
      <c r="D668" t="s">
        <v>28</v>
      </c>
      <c r="E668" t="s">
        <v>2500</v>
      </c>
      <c r="F668" t="s">
        <v>20</v>
      </c>
      <c r="G668">
        <v>4</v>
      </c>
      <c r="H668">
        <v>327.12</v>
      </c>
      <c r="I668" t="s">
        <v>2301</v>
      </c>
      <c r="J668" t="s">
        <v>39</v>
      </c>
      <c r="K668" t="s">
        <v>40</v>
      </c>
      <c r="L668" t="s">
        <v>2501</v>
      </c>
      <c r="M668">
        <v>4</v>
      </c>
      <c r="O668" t="s">
        <v>43</v>
      </c>
      <c r="P668">
        <v>1308.48</v>
      </c>
      <c r="Q668">
        <v>1308.48</v>
      </c>
      <c r="R668" t="str">
        <f>IF(OR(P668&lt;Outliers!$B$5, P668&gt;Outliers!$B$6), "outliers", "")</f>
        <v/>
      </c>
    </row>
    <row r="669" spans="1:18" x14ac:dyDescent="0.25">
      <c r="A669" t="s">
        <v>2502</v>
      </c>
      <c r="B669" s="1">
        <v>45049</v>
      </c>
      <c r="C669">
        <v>2023</v>
      </c>
      <c r="D669" t="s">
        <v>53</v>
      </c>
      <c r="E669" t="s">
        <v>2503</v>
      </c>
      <c r="F669" t="s">
        <v>65</v>
      </c>
      <c r="G669">
        <v>1</v>
      </c>
      <c r="H669">
        <v>466.42</v>
      </c>
      <c r="I669" t="s">
        <v>837</v>
      </c>
      <c r="J669" t="s">
        <v>67</v>
      </c>
      <c r="K669" t="s">
        <v>96</v>
      </c>
      <c r="L669" t="s">
        <v>2504</v>
      </c>
      <c r="M669">
        <v>5</v>
      </c>
      <c r="N669" t="s">
        <v>25</v>
      </c>
      <c r="O669" t="s">
        <v>43</v>
      </c>
      <c r="P669">
        <v>466.42</v>
      </c>
      <c r="Q669">
        <v>466.42</v>
      </c>
      <c r="R669" t="str">
        <f>IF(OR(P669&lt;Outliers!$B$5, P669&gt;Outliers!$B$6), "outliers", "")</f>
        <v/>
      </c>
    </row>
    <row r="670" spans="1:18" x14ac:dyDescent="0.25">
      <c r="A670" t="s">
        <v>2505</v>
      </c>
      <c r="B670" s="1">
        <v>45478</v>
      </c>
      <c r="C670">
        <v>2024</v>
      </c>
      <c r="D670" t="s">
        <v>28</v>
      </c>
      <c r="E670" t="s">
        <v>2506</v>
      </c>
      <c r="F670" t="s">
        <v>20</v>
      </c>
      <c r="G670">
        <v>2</v>
      </c>
      <c r="H670">
        <v>253.67</v>
      </c>
      <c r="I670" t="s">
        <v>637</v>
      </c>
      <c r="J670" t="s">
        <v>72</v>
      </c>
      <c r="K670" t="s">
        <v>49</v>
      </c>
      <c r="L670" t="s">
        <v>2507</v>
      </c>
      <c r="M670">
        <v>3</v>
      </c>
      <c r="N670" t="s">
        <v>88</v>
      </c>
      <c r="O670" t="s">
        <v>51</v>
      </c>
      <c r="P670">
        <v>507.34</v>
      </c>
      <c r="Q670">
        <v>507.34</v>
      </c>
      <c r="R670" t="str">
        <f>IF(OR(P670&lt;Outliers!$B$5, P670&gt;Outliers!$B$6), "outliers", "")</f>
        <v/>
      </c>
    </row>
    <row r="671" spans="1:18" x14ac:dyDescent="0.25">
      <c r="A671" t="s">
        <v>2508</v>
      </c>
      <c r="B671" s="1">
        <v>44962</v>
      </c>
      <c r="C671">
        <v>2023</v>
      </c>
      <c r="D671" t="s">
        <v>18</v>
      </c>
      <c r="E671" t="s">
        <v>2509</v>
      </c>
      <c r="F671" t="s">
        <v>80</v>
      </c>
      <c r="G671">
        <v>1</v>
      </c>
      <c r="H671">
        <v>257</v>
      </c>
      <c r="I671" t="s">
        <v>2510</v>
      </c>
      <c r="J671" t="s">
        <v>22</v>
      </c>
      <c r="K671" t="s">
        <v>40</v>
      </c>
      <c r="L671" t="s">
        <v>2511</v>
      </c>
      <c r="M671">
        <v>5</v>
      </c>
      <c r="O671" t="s">
        <v>34</v>
      </c>
      <c r="P671">
        <v>257</v>
      </c>
      <c r="Q671">
        <v>257</v>
      </c>
      <c r="R671" t="str">
        <f>IF(OR(P671&lt;Outliers!$B$5, P671&gt;Outliers!$B$6), "outliers", "")</f>
        <v/>
      </c>
    </row>
    <row r="672" spans="1:18" x14ac:dyDescent="0.25">
      <c r="A672" t="s">
        <v>2512</v>
      </c>
      <c r="B672" s="1">
        <v>45400</v>
      </c>
      <c r="C672">
        <v>2024</v>
      </c>
      <c r="D672" t="s">
        <v>53</v>
      </c>
      <c r="E672" t="s">
        <v>2513</v>
      </c>
      <c r="F672" t="s">
        <v>80</v>
      </c>
      <c r="G672">
        <v>4</v>
      </c>
      <c r="H672">
        <v>539.20000000000005</v>
      </c>
      <c r="I672" t="s">
        <v>1422</v>
      </c>
      <c r="J672" t="s">
        <v>39</v>
      </c>
      <c r="K672" t="s">
        <v>96</v>
      </c>
      <c r="L672" t="s">
        <v>2514</v>
      </c>
      <c r="M672">
        <v>8</v>
      </c>
      <c r="N672" t="s">
        <v>42</v>
      </c>
      <c r="O672" t="s">
        <v>83</v>
      </c>
      <c r="P672">
        <v>2156.8000000000002</v>
      </c>
      <c r="Q672">
        <v>2156.8000000000002</v>
      </c>
      <c r="R672" t="str">
        <f>IF(OR(P672&lt;Outliers!$B$5, P672&gt;Outliers!$B$6), "outliers", "")</f>
        <v/>
      </c>
    </row>
    <row r="673" spans="1:18" x14ac:dyDescent="0.25">
      <c r="A673" t="s">
        <v>2515</v>
      </c>
      <c r="B673" s="1">
        <v>45092</v>
      </c>
      <c r="C673">
        <v>2023</v>
      </c>
      <c r="D673" t="s">
        <v>53</v>
      </c>
      <c r="E673" t="s">
        <v>2516</v>
      </c>
      <c r="F673" t="s">
        <v>47</v>
      </c>
      <c r="G673">
        <v>5</v>
      </c>
      <c r="H673">
        <v>50.74</v>
      </c>
      <c r="I673" t="s">
        <v>666</v>
      </c>
      <c r="J673" t="s">
        <v>67</v>
      </c>
      <c r="K673" t="s">
        <v>40</v>
      </c>
      <c r="L673" t="s">
        <v>2517</v>
      </c>
      <c r="M673">
        <v>7</v>
      </c>
      <c r="N673" t="s">
        <v>88</v>
      </c>
      <c r="O673" t="s">
        <v>83</v>
      </c>
      <c r="P673">
        <v>253.7</v>
      </c>
      <c r="Q673">
        <v>253.7</v>
      </c>
      <c r="R673" t="str">
        <f>IF(OR(P673&lt;Outliers!$B$5, P673&gt;Outliers!$B$6), "outliers", "")</f>
        <v/>
      </c>
    </row>
    <row r="674" spans="1:18" x14ac:dyDescent="0.25">
      <c r="A674" t="s">
        <v>2518</v>
      </c>
      <c r="B674" s="1">
        <v>45055</v>
      </c>
      <c r="C674">
        <v>2023</v>
      </c>
      <c r="D674" t="s">
        <v>53</v>
      </c>
      <c r="E674" t="s">
        <v>2519</v>
      </c>
      <c r="F674" t="s">
        <v>30</v>
      </c>
      <c r="G674">
        <v>2</v>
      </c>
      <c r="H674">
        <v>624.16</v>
      </c>
      <c r="I674" t="s">
        <v>2328</v>
      </c>
      <c r="J674" t="s">
        <v>22</v>
      </c>
      <c r="K674" t="s">
        <v>23</v>
      </c>
      <c r="L674" t="s">
        <v>2520</v>
      </c>
      <c r="M674">
        <v>2</v>
      </c>
      <c r="N674" t="s">
        <v>25</v>
      </c>
      <c r="O674" t="s">
        <v>26</v>
      </c>
      <c r="P674">
        <v>1248.32</v>
      </c>
      <c r="Q674">
        <v>1248.32</v>
      </c>
      <c r="R674" t="str">
        <f>IF(OR(P674&lt;Outliers!$B$5, P674&gt;Outliers!$B$6), "outliers", "")</f>
        <v/>
      </c>
    </row>
    <row r="675" spans="1:18" x14ac:dyDescent="0.25">
      <c r="A675" t="s">
        <v>2521</v>
      </c>
      <c r="B675" s="1">
        <v>44978</v>
      </c>
      <c r="C675">
        <v>2023</v>
      </c>
      <c r="D675" t="s">
        <v>18</v>
      </c>
      <c r="E675" t="s">
        <v>2522</v>
      </c>
      <c r="F675" t="s">
        <v>37</v>
      </c>
      <c r="G675">
        <v>2</v>
      </c>
      <c r="H675">
        <v>372.92</v>
      </c>
      <c r="I675" t="s">
        <v>477</v>
      </c>
      <c r="J675" t="s">
        <v>39</v>
      </c>
      <c r="K675" t="s">
        <v>57</v>
      </c>
      <c r="L675" t="s">
        <v>2523</v>
      </c>
      <c r="M675">
        <v>7</v>
      </c>
      <c r="N675" t="s">
        <v>25</v>
      </c>
      <c r="O675" t="s">
        <v>43</v>
      </c>
      <c r="P675">
        <v>745.84</v>
      </c>
      <c r="Q675">
        <v>745.84</v>
      </c>
      <c r="R675" t="str">
        <f>IF(OR(P675&lt;Outliers!$B$5, P675&gt;Outliers!$B$6), "outliers", "")</f>
        <v/>
      </c>
    </row>
    <row r="676" spans="1:18" x14ac:dyDescent="0.25">
      <c r="A676" t="s">
        <v>2524</v>
      </c>
      <c r="B676" s="1">
        <v>45300</v>
      </c>
      <c r="C676">
        <v>2024</v>
      </c>
      <c r="D676" t="s">
        <v>18</v>
      </c>
      <c r="E676" t="s">
        <v>2525</v>
      </c>
      <c r="F676" t="s">
        <v>65</v>
      </c>
      <c r="G676">
        <v>4</v>
      </c>
      <c r="H676">
        <v>358.75</v>
      </c>
      <c r="I676" t="s">
        <v>2526</v>
      </c>
      <c r="J676" t="s">
        <v>67</v>
      </c>
      <c r="K676" t="s">
        <v>57</v>
      </c>
      <c r="L676" t="s">
        <v>2527</v>
      </c>
      <c r="M676">
        <v>9</v>
      </c>
      <c r="N676" t="s">
        <v>25</v>
      </c>
      <c r="O676" t="s">
        <v>51</v>
      </c>
      <c r="P676">
        <v>1435</v>
      </c>
      <c r="Q676">
        <v>1435</v>
      </c>
      <c r="R676" t="str">
        <f>IF(OR(P676&lt;Outliers!$B$5, P676&gt;Outliers!$B$6), "outliers", "")</f>
        <v/>
      </c>
    </row>
    <row r="677" spans="1:18" x14ac:dyDescent="0.25">
      <c r="A677" t="s">
        <v>2528</v>
      </c>
      <c r="B677" s="1">
        <v>45510</v>
      </c>
      <c r="C677">
        <v>2024</v>
      </c>
      <c r="D677" t="s">
        <v>28</v>
      </c>
      <c r="E677" t="s">
        <v>2529</v>
      </c>
      <c r="F677" t="s">
        <v>80</v>
      </c>
      <c r="G677">
        <v>3</v>
      </c>
      <c r="H677">
        <v>342.02</v>
      </c>
      <c r="I677" t="s">
        <v>2047</v>
      </c>
      <c r="J677" t="s">
        <v>22</v>
      </c>
      <c r="K677" t="s">
        <v>96</v>
      </c>
      <c r="L677" t="s">
        <v>2530</v>
      </c>
      <c r="M677">
        <v>5</v>
      </c>
      <c r="O677" t="s">
        <v>43</v>
      </c>
      <c r="P677">
        <v>1026.06</v>
      </c>
      <c r="Q677">
        <v>1026.06</v>
      </c>
      <c r="R677" t="str">
        <f>IF(OR(P677&lt;Outliers!$B$5, P677&gt;Outliers!$B$6), "outliers", "")</f>
        <v/>
      </c>
    </row>
    <row r="678" spans="1:18" x14ac:dyDescent="0.25">
      <c r="A678" t="s">
        <v>2531</v>
      </c>
      <c r="B678" s="1">
        <v>45831</v>
      </c>
      <c r="C678">
        <v>2025</v>
      </c>
      <c r="D678" t="s">
        <v>53</v>
      </c>
      <c r="E678" t="s">
        <v>2532</v>
      </c>
      <c r="F678" t="s">
        <v>65</v>
      </c>
      <c r="G678">
        <v>2</v>
      </c>
      <c r="H678">
        <v>422.34</v>
      </c>
      <c r="I678" t="s">
        <v>2487</v>
      </c>
      <c r="J678" t="s">
        <v>39</v>
      </c>
      <c r="K678" t="s">
        <v>40</v>
      </c>
      <c r="L678" t="s">
        <v>2533</v>
      </c>
      <c r="M678">
        <v>4</v>
      </c>
      <c r="N678" t="s">
        <v>42</v>
      </c>
      <c r="O678" t="s">
        <v>26</v>
      </c>
      <c r="P678">
        <v>844.68</v>
      </c>
      <c r="Q678">
        <v>844.68</v>
      </c>
      <c r="R678" t="str">
        <f>IF(OR(P678&lt;Outliers!$B$5, P678&gt;Outliers!$B$6), "outliers", "")</f>
        <v/>
      </c>
    </row>
    <row r="679" spans="1:18" x14ac:dyDescent="0.25">
      <c r="A679" t="s">
        <v>2534</v>
      </c>
      <c r="B679" s="1">
        <v>45750</v>
      </c>
      <c r="C679">
        <v>2025</v>
      </c>
      <c r="D679" t="s">
        <v>53</v>
      </c>
      <c r="E679" t="s">
        <v>2535</v>
      </c>
      <c r="F679" t="s">
        <v>37</v>
      </c>
      <c r="G679">
        <v>5</v>
      </c>
      <c r="H679">
        <v>22.07</v>
      </c>
      <c r="I679" t="s">
        <v>95</v>
      </c>
      <c r="J679" t="s">
        <v>32</v>
      </c>
      <c r="K679" t="s">
        <v>40</v>
      </c>
      <c r="L679" t="s">
        <v>2536</v>
      </c>
      <c r="M679">
        <v>7</v>
      </c>
      <c r="N679" t="s">
        <v>42</v>
      </c>
      <c r="O679" t="s">
        <v>26</v>
      </c>
      <c r="P679">
        <v>110.35</v>
      </c>
      <c r="Q679">
        <v>110.35</v>
      </c>
      <c r="R679" t="str">
        <f>IF(OR(P679&lt;Outliers!$B$5, P679&gt;Outliers!$B$6), "outliers", "")</f>
        <v/>
      </c>
    </row>
    <row r="680" spans="1:18" x14ac:dyDescent="0.25">
      <c r="A680" t="s">
        <v>2537</v>
      </c>
      <c r="B680" s="1">
        <v>45620</v>
      </c>
      <c r="C680">
        <v>2024</v>
      </c>
      <c r="D680" t="s">
        <v>45</v>
      </c>
      <c r="E680" t="s">
        <v>2538</v>
      </c>
      <c r="F680" t="s">
        <v>47</v>
      </c>
      <c r="G680">
        <v>3</v>
      </c>
      <c r="H680">
        <v>163.13</v>
      </c>
      <c r="I680" t="s">
        <v>895</v>
      </c>
      <c r="J680" t="s">
        <v>67</v>
      </c>
      <c r="K680" t="s">
        <v>23</v>
      </c>
      <c r="L680" t="s">
        <v>2539</v>
      </c>
      <c r="M680">
        <v>5</v>
      </c>
      <c r="N680" t="s">
        <v>88</v>
      </c>
      <c r="O680" t="s">
        <v>51</v>
      </c>
      <c r="P680">
        <v>489.39</v>
      </c>
      <c r="Q680">
        <v>489.39</v>
      </c>
      <c r="R680" t="str">
        <f>IF(OR(P680&lt;Outliers!$B$5, P680&gt;Outliers!$B$6), "outliers", "")</f>
        <v/>
      </c>
    </row>
    <row r="681" spans="1:18" x14ac:dyDescent="0.25">
      <c r="A681" t="s">
        <v>2540</v>
      </c>
      <c r="B681" s="1">
        <v>44959</v>
      </c>
      <c r="C681">
        <v>2023</v>
      </c>
      <c r="D681" t="s">
        <v>18</v>
      </c>
      <c r="E681" t="s">
        <v>2541</v>
      </c>
      <c r="F681" t="s">
        <v>37</v>
      </c>
      <c r="G681">
        <v>3</v>
      </c>
      <c r="H681">
        <v>360.66</v>
      </c>
      <c r="I681" t="s">
        <v>1571</v>
      </c>
      <c r="J681" t="s">
        <v>32</v>
      </c>
      <c r="K681" t="s">
        <v>49</v>
      </c>
      <c r="L681" t="s">
        <v>2542</v>
      </c>
      <c r="M681">
        <v>5</v>
      </c>
      <c r="N681" t="s">
        <v>42</v>
      </c>
      <c r="O681" t="s">
        <v>26</v>
      </c>
      <c r="P681">
        <v>1081.98</v>
      </c>
      <c r="Q681">
        <v>1081.98</v>
      </c>
      <c r="R681" t="str">
        <f>IF(OR(P681&lt;Outliers!$B$5, P681&gt;Outliers!$B$6), "outliers", "")</f>
        <v/>
      </c>
    </row>
    <row r="682" spans="1:18" x14ac:dyDescent="0.25">
      <c r="A682" t="s">
        <v>2543</v>
      </c>
      <c r="B682" s="1">
        <v>45165</v>
      </c>
      <c r="C682">
        <v>2023</v>
      </c>
      <c r="D682" t="s">
        <v>28</v>
      </c>
      <c r="E682" t="s">
        <v>2544</v>
      </c>
      <c r="F682" t="s">
        <v>20</v>
      </c>
      <c r="G682">
        <v>3</v>
      </c>
      <c r="H682">
        <v>463.39</v>
      </c>
      <c r="I682" t="s">
        <v>2545</v>
      </c>
      <c r="J682" t="s">
        <v>39</v>
      </c>
      <c r="K682" t="s">
        <v>49</v>
      </c>
      <c r="L682" t="s">
        <v>2546</v>
      </c>
      <c r="M682">
        <v>3</v>
      </c>
      <c r="O682" t="s">
        <v>51</v>
      </c>
      <c r="P682">
        <v>1390.17</v>
      </c>
      <c r="Q682">
        <v>1390.17</v>
      </c>
      <c r="R682" t="str">
        <f>IF(OR(P682&lt;Outliers!$B$5, P682&gt;Outliers!$B$6), "outliers", "")</f>
        <v/>
      </c>
    </row>
    <row r="683" spans="1:18" x14ac:dyDescent="0.25">
      <c r="A683" t="s">
        <v>2547</v>
      </c>
      <c r="B683" s="1">
        <v>45321</v>
      </c>
      <c r="C683">
        <v>2024</v>
      </c>
      <c r="D683" t="s">
        <v>18</v>
      </c>
      <c r="E683" t="s">
        <v>2548</v>
      </c>
      <c r="F683" t="s">
        <v>37</v>
      </c>
      <c r="G683">
        <v>1</v>
      </c>
      <c r="H683">
        <v>155.27000000000001</v>
      </c>
      <c r="I683" t="s">
        <v>2549</v>
      </c>
      <c r="J683" t="s">
        <v>22</v>
      </c>
      <c r="K683" t="s">
        <v>23</v>
      </c>
      <c r="L683" t="s">
        <v>2550</v>
      </c>
      <c r="M683">
        <v>6</v>
      </c>
      <c r="O683" t="s">
        <v>43</v>
      </c>
      <c r="P683">
        <v>155.27000000000001</v>
      </c>
      <c r="Q683">
        <v>155.27000000000001</v>
      </c>
      <c r="R683" t="str">
        <f>IF(OR(P683&lt;Outliers!$B$5, P683&gt;Outliers!$B$6), "outliers", "")</f>
        <v/>
      </c>
    </row>
    <row r="684" spans="1:18" x14ac:dyDescent="0.25">
      <c r="A684" t="s">
        <v>2551</v>
      </c>
      <c r="B684" s="1">
        <v>45130</v>
      </c>
      <c r="C684">
        <v>2023</v>
      </c>
      <c r="D684" t="s">
        <v>28</v>
      </c>
      <c r="E684" t="s">
        <v>2552</v>
      </c>
      <c r="F684" t="s">
        <v>20</v>
      </c>
      <c r="G684">
        <v>3</v>
      </c>
      <c r="H684">
        <v>509.42</v>
      </c>
      <c r="I684" t="s">
        <v>1834</v>
      </c>
      <c r="J684" t="s">
        <v>39</v>
      </c>
      <c r="K684" t="s">
        <v>40</v>
      </c>
      <c r="L684" t="s">
        <v>2553</v>
      </c>
      <c r="M684">
        <v>5</v>
      </c>
      <c r="N684" t="s">
        <v>42</v>
      </c>
      <c r="O684" t="s">
        <v>83</v>
      </c>
      <c r="P684">
        <v>1528.26</v>
      </c>
      <c r="Q684">
        <v>1528.26</v>
      </c>
      <c r="R684" t="str">
        <f>IF(OR(P684&lt;Outliers!$B$5, P684&gt;Outliers!$B$6), "outliers", "")</f>
        <v/>
      </c>
    </row>
    <row r="685" spans="1:18" x14ac:dyDescent="0.25">
      <c r="A685" t="s">
        <v>2554</v>
      </c>
      <c r="B685" s="1">
        <v>45795</v>
      </c>
      <c r="C685">
        <v>2025</v>
      </c>
      <c r="D685" t="s">
        <v>53</v>
      </c>
      <c r="E685" t="s">
        <v>2555</v>
      </c>
      <c r="F685" t="s">
        <v>80</v>
      </c>
      <c r="G685">
        <v>4</v>
      </c>
      <c r="H685">
        <v>652.48</v>
      </c>
      <c r="I685" t="s">
        <v>2556</v>
      </c>
      <c r="J685" t="s">
        <v>72</v>
      </c>
      <c r="K685" t="s">
        <v>96</v>
      </c>
      <c r="L685" t="s">
        <v>2557</v>
      </c>
      <c r="M685">
        <v>5</v>
      </c>
      <c r="N685" t="s">
        <v>42</v>
      </c>
      <c r="O685" t="s">
        <v>26</v>
      </c>
      <c r="P685">
        <v>2609.92</v>
      </c>
      <c r="Q685">
        <v>2609.92</v>
      </c>
      <c r="R685" t="str">
        <f>IF(OR(P685&lt;Outliers!$B$5, P685&gt;Outliers!$B$6), "outliers", "")</f>
        <v/>
      </c>
    </row>
    <row r="686" spans="1:18" x14ac:dyDescent="0.25">
      <c r="A686" t="s">
        <v>2558</v>
      </c>
      <c r="B686" s="1">
        <v>45557</v>
      </c>
      <c r="C686">
        <v>2024</v>
      </c>
      <c r="D686" t="s">
        <v>28</v>
      </c>
      <c r="E686" t="s">
        <v>2559</v>
      </c>
      <c r="F686" t="s">
        <v>55</v>
      </c>
      <c r="G686">
        <v>4</v>
      </c>
      <c r="H686">
        <v>34.840000000000003</v>
      </c>
      <c r="I686" t="s">
        <v>2560</v>
      </c>
      <c r="J686" t="s">
        <v>39</v>
      </c>
      <c r="K686" t="s">
        <v>23</v>
      </c>
      <c r="L686" t="s">
        <v>2561</v>
      </c>
      <c r="M686">
        <v>8</v>
      </c>
      <c r="O686" t="s">
        <v>43</v>
      </c>
      <c r="P686">
        <v>139.36000000000001</v>
      </c>
      <c r="Q686">
        <v>139.36000000000001</v>
      </c>
      <c r="R686" t="str">
        <f>IF(OR(P686&lt;Outliers!$B$5, P686&gt;Outliers!$B$6), "outliers", "")</f>
        <v/>
      </c>
    </row>
    <row r="687" spans="1:18" x14ac:dyDescent="0.25">
      <c r="A687" t="s">
        <v>2562</v>
      </c>
      <c r="B687" s="1">
        <v>45695</v>
      </c>
      <c r="C687">
        <v>2025</v>
      </c>
      <c r="D687" t="s">
        <v>18</v>
      </c>
      <c r="E687" t="s">
        <v>2563</v>
      </c>
      <c r="F687" t="s">
        <v>80</v>
      </c>
      <c r="G687">
        <v>1</v>
      </c>
      <c r="H687">
        <v>234.37</v>
      </c>
      <c r="I687" t="s">
        <v>2564</v>
      </c>
      <c r="J687" t="s">
        <v>22</v>
      </c>
      <c r="K687" t="s">
        <v>23</v>
      </c>
      <c r="L687" t="s">
        <v>2565</v>
      </c>
      <c r="M687">
        <v>5</v>
      </c>
      <c r="N687" t="s">
        <v>42</v>
      </c>
      <c r="O687" t="s">
        <v>43</v>
      </c>
      <c r="P687">
        <v>234.37</v>
      </c>
      <c r="Q687">
        <v>234.37</v>
      </c>
      <c r="R687" t="str">
        <f>IF(OR(P687&lt;Outliers!$B$5, P687&gt;Outliers!$B$6), "outliers", "")</f>
        <v/>
      </c>
    </row>
    <row r="688" spans="1:18" x14ac:dyDescent="0.25">
      <c r="A688" t="s">
        <v>2566</v>
      </c>
      <c r="B688" s="1">
        <v>45208</v>
      </c>
      <c r="C688">
        <v>2023</v>
      </c>
      <c r="D688" t="s">
        <v>45</v>
      </c>
      <c r="E688" t="s">
        <v>2567</v>
      </c>
      <c r="F688" t="s">
        <v>80</v>
      </c>
      <c r="G688">
        <v>3</v>
      </c>
      <c r="H688">
        <v>53.6</v>
      </c>
      <c r="I688" t="s">
        <v>2568</v>
      </c>
      <c r="J688" t="s">
        <v>72</v>
      </c>
      <c r="K688" t="s">
        <v>96</v>
      </c>
      <c r="L688" t="s">
        <v>2569</v>
      </c>
      <c r="M688">
        <v>4</v>
      </c>
      <c r="N688" t="s">
        <v>88</v>
      </c>
      <c r="O688" t="s">
        <v>51</v>
      </c>
      <c r="P688">
        <v>160.80000000000001</v>
      </c>
      <c r="Q688">
        <v>160.80000000000001</v>
      </c>
      <c r="R688" t="str">
        <f>IF(OR(P688&lt;Outliers!$B$5, P688&gt;Outliers!$B$6), "outliers", "")</f>
        <v/>
      </c>
    </row>
    <row r="689" spans="1:18" x14ac:dyDescent="0.25">
      <c r="A689" t="s">
        <v>2570</v>
      </c>
      <c r="B689" s="1">
        <v>45182</v>
      </c>
      <c r="C689">
        <v>2023</v>
      </c>
      <c r="D689" t="s">
        <v>28</v>
      </c>
      <c r="E689" t="s">
        <v>2571</v>
      </c>
      <c r="F689" t="s">
        <v>37</v>
      </c>
      <c r="G689">
        <v>1</v>
      </c>
      <c r="H689">
        <v>332.09</v>
      </c>
      <c r="I689" t="s">
        <v>2572</v>
      </c>
      <c r="J689" t="s">
        <v>67</v>
      </c>
      <c r="K689" t="s">
        <v>49</v>
      </c>
      <c r="L689" t="s">
        <v>2573</v>
      </c>
      <c r="M689">
        <v>5</v>
      </c>
      <c r="N689" t="s">
        <v>42</v>
      </c>
      <c r="O689" t="s">
        <v>26</v>
      </c>
      <c r="P689">
        <v>332.09</v>
      </c>
      <c r="Q689">
        <v>332.09</v>
      </c>
      <c r="R689" t="str">
        <f>IF(OR(P689&lt;Outliers!$B$5, P689&gt;Outliers!$B$6), "outliers", "")</f>
        <v/>
      </c>
    </row>
    <row r="690" spans="1:18" x14ac:dyDescent="0.25">
      <c r="A690" t="s">
        <v>2574</v>
      </c>
      <c r="B690" s="1">
        <v>45357</v>
      </c>
      <c r="C690">
        <v>2024</v>
      </c>
      <c r="D690" t="s">
        <v>18</v>
      </c>
      <c r="E690" t="s">
        <v>2575</v>
      </c>
      <c r="F690" t="s">
        <v>20</v>
      </c>
      <c r="G690">
        <v>4</v>
      </c>
      <c r="H690">
        <v>593.22</v>
      </c>
      <c r="I690" t="s">
        <v>2318</v>
      </c>
      <c r="J690" t="s">
        <v>39</v>
      </c>
      <c r="K690" t="s">
        <v>40</v>
      </c>
      <c r="L690" t="s">
        <v>2576</v>
      </c>
      <c r="M690">
        <v>8</v>
      </c>
      <c r="N690" t="s">
        <v>88</v>
      </c>
      <c r="O690" t="s">
        <v>51</v>
      </c>
      <c r="P690">
        <v>2372.88</v>
      </c>
      <c r="Q690">
        <v>2372.88</v>
      </c>
      <c r="R690" t="str">
        <f>IF(OR(P690&lt;Outliers!$B$5, P690&gt;Outliers!$B$6), "outliers", "")</f>
        <v/>
      </c>
    </row>
    <row r="691" spans="1:18" x14ac:dyDescent="0.25">
      <c r="A691" t="s">
        <v>2577</v>
      </c>
      <c r="B691" s="1">
        <v>45167</v>
      </c>
      <c r="C691">
        <v>2023</v>
      </c>
      <c r="D691" t="s">
        <v>28</v>
      </c>
      <c r="E691" t="s">
        <v>2578</v>
      </c>
      <c r="F691" t="s">
        <v>37</v>
      </c>
      <c r="G691">
        <v>2</v>
      </c>
      <c r="H691">
        <v>444.84</v>
      </c>
      <c r="I691" t="s">
        <v>2579</v>
      </c>
      <c r="J691" t="s">
        <v>32</v>
      </c>
      <c r="K691" t="s">
        <v>23</v>
      </c>
      <c r="L691" t="s">
        <v>2580</v>
      </c>
      <c r="M691">
        <v>7</v>
      </c>
      <c r="O691" t="s">
        <v>51</v>
      </c>
      <c r="P691">
        <v>889.68</v>
      </c>
      <c r="Q691">
        <v>889.68</v>
      </c>
      <c r="R691" t="str">
        <f>IF(OR(P691&lt;Outliers!$B$5, P691&gt;Outliers!$B$6), "outliers", "")</f>
        <v/>
      </c>
    </row>
    <row r="692" spans="1:18" x14ac:dyDescent="0.25">
      <c r="A692" t="s">
        <v>2581</v>
      </c>
      <c r="B692" s="1">
        <v>45485</v>
      </c>
      <c r="C692">
        <v>2024</v>
      </c>
      <c r="D692" t="s">
        <v>28</v>
      </c>
      <c r="E692" t="s">
        <v>2582</v>
      </c>
      <c r="F692" t="s">
        <v>20</v>
      </c>
      <c r="G692">
        <v>1</v>
      </c>
      <c r="H692">
        <v>24.48</v>
      </c>
      <c r="I692" t="s">
        <v>188</v>
      </c>
      <c r="J692" t="s">
        <v>67</v>
      </c>
      <c r="K692" t="s">
        <v>49</v>
      </c>
      <c r="L692" t="s">
        <v>2583</v>
      </c>
      <c r="M692">
        <v>1</v>
      </c>
      <c r="O692" t="s">
        <v>26</v>
      </c>
      <c r="P692">
        <v>24.48</v>
      </c>
      <c r="Q692">
        <v>24.48</v>
      </c>
      <c r="R692" t="str">
        <f>IF(OR(P692&lt;Outliers!$B$5, P692&gt;Outliers!$B$6), "outliers", "")</f>
        <v/>
      </c>
    </row>
    <row r="693" spans="1:18" x14ac:dyDescent="0.25">
      <c r="A693" t="s">
        <v>2584</v>
      </c>
      <c r="B693" s="1">
        <v>45620</v>
      </c>
      <c r="C693">
        <v>2024</v>
      </c>
      <c r="D693" t="s">
        <v>45</v>
      </c>
      <c r="E693" t="s">
        <v>2585</v>
      </c>
      <c r="F693" t="s">
        <v>65</v>
      </c>
      <c r="G693">
        <v>3</v>
      </c>
      <c r="H693">
        <v>239.08</v>
      </c>
      <c r="I693" t="s">
        <v>2586</v>
      </c>
      <c r="J693" t="s">
        <v>72</v>
      </c>
      <c r="K693" t="s">
        <v>23</v>
      </c>
      <c r="L693" t="s">
        <v>2587</v>
      </c>
      <c r="M693">
        <v>8</v>
      </c>
      <c r="O693" t="s">
        <v>83</v>
      </c>
      <c r="P693">
        <v>717.24</v>
      </c>
      <c r="Q693">
        <v>717.24</v>
      </c>
      <c r="R693" t="str">
        <f>IF(OR(P693&lt;Outliers!$B$5, P693&gt;Outliers!$B$6), "outliers", "")</f>
        <v/>
      </c>
    </row>
    <row r="694" spans="1:18" x14ac:dyDescent="0.25">
      <c r="A694" t="s">
        <v>2588</v>
      </c>
      <c r="B694" s="1">
        <v>44949</v>
      </c>
      <c r="C694">
        <v>2023</v>
      </c>
      <c r="D694" t="s">
        <v>18</v>
      </c>
      <c r="E694" t="s">
        <v>2589</v>
      </c>
      <c r="F694" t="s">
        <v>80</v>
      </c>
      <c r="G694">
        <v>5</v>
      </c>
      <c r="H694">
        <v>196.84</v>
      </c>
      <c r="I694" t="s">
        <v>1567</v>
      </c>
      <c r="J694" t="s">
        <v>39</v>
      </c>
      <c r="K694" t="s">
        <v>57</v>
      </c>
      <c r="L694" t="s">
        <v>2590</v>
      </c>
      <c r="M694">
        <v>5</v>
      </c>
      <c r="N694" t="s">
        <v>88</v>
      </c>
      <c r="O694" t="s">
        <v>26</v>
      </c>
      <c r="P694">
        <v>984.2</v>
      </c>
      <c r="Q694">
        <v>984.2</v>
      </c>
      <c r="R694" t="str">
        <f>IF(OR(P694&lt;Outliers!$B$5, P694&gt;Outliers!$B$6), "outliers", "")</f>
        <v/>
      </c>
    </row>
    <row r="695" spans="1:18" x14ac:dyDescent="0.25">
      <c r="A695" t="s">
        <v>2591</v>
      </c>
      <c r="B695" s="1">
        <v>45728</v>
      </c>
      <c r="C695">
        <v>2025</v>
      </c>
      <c r="D695" t="s">
        <v>18</v>
      </c>
      <c r="E695" t="s">
        <v>2592</v>
      </c>
      <c r="F695" t="s">
        <v>20</v>
      </c>
      <c r="G695">
        <v>1</v>
      </c>
      <c r="H695">
        <v>176.58</v>
      </c>
      <c r="I695" t="s">
        <v>2593</v>
      </c>
      <c r="J695" t="s">
        <v>22</v>
      </c>
      <c r="K695" t="s">
        <v>49</v>
      </c>
      <c r="L695" t="s">
        <v>2594</v>
      </c>
      <c r="M695">
        <v>4</v>
      </c>
      <c r="O695" t="s">
        <v>34</v>
      </c>
      <c r="P695">
        <v>176.58</v>
      </c>
      <c r="Q695">
        <v>176.58</v>
      </c>
      <c r="R695" t="str">
        <f>IF(OR(P695&lt;Outliers!$B$5, P695&gt;Outliers!$B$6), "outliers", "")</f>
        <v/>
      </c>
    </row>
    <row r="696" spans="1:18" x14ac:dyDescent="0.25">
      <c r="A696" t="s">
        <v>2595</v>
      </c>
      <c r="B696" s="1">
        <v>45201</v>
      </c>
      <c r="C696">
        <v>2023</v>
      </c>
      <c r="D696" t="s">
        <v>45</v>
      </c>
      <c r="E696" t="s">
        <v>2596</v>
      </c>
      <c r="F696" t="s">
        <v>55</v>
      </c>
      <c r="G696">
        <v>4</v>
      </c>
      <c r="H696">
        <v>666.52</v>
      </c>
      <c r="I696" t="s">
        <v>1359</v>
      </c>
      <c r="J696" t="s">
        <v>72</v>
      </c>
      <c r="K696" t="s">
        <v>23</v>
      </c>
      <c r="L696" t="s">
        <v>2597</v>
      </c>
      <c r="M696">
        <v>8</v>
      </c>
      <c r="N696" t="s">
        <v>42</v>
      </c>
      <c r="O696" t="s">
        <v>43</v>
      </c>
      <c r="P696">
        <v>2666.08</v>
      </c>
      <c r="Q696">
        <v>2666.08</v>
      </c>
      <c r="R696" t="str">
        <f>IF(OR(P696&lt;Outliers!$B$5, P696&gt;Outliers!$B$6), "outliers", "")</f>
        <v/>
      </c>
    </row>
    <row r="697" spans="1:18" x14ac:dyDescent="0.25">
      <c r="A697" t="s">
        <v>2598</v>
      </c>
      <c r="B697" s="1">
        <v>45619</v>
      </c>
      <c r="C697">
        <v>2024</v>
      </c>
      <c r="D697" t="s">
        <v>45</v>
      </c>
      <c r="E697" t="s">
        <v>2599</v>
      </c>
      <c r="F697" t="s">
        <v>55</v>
      </c>
      <c r="G697">
        <v>5</v>
      </c>
      <c r="H697">
        <v>101.3</v>
      </c>
      <c r="I697" t="s">
        <v>734</v>
      </c>
      <c r="J697" t="s">
        <v>32</v>
      </c>
      <c r="K697" t="s">
        <v>23</v>
      </c>
      <c r="L697" t="s">
        <v>2600</v>
      </c>
      <c r="M697">
        <v>7</v>
      </c>
      <c r="N697" t="s">
        <v>42</v>
      </c>
      <c r="O697" t="s">
        <v>43</v>
      </c>
      <c r="P697">
        <v>506.5</v>
      </c>
      <c r="Q697">
        <v>506.5</v>
      </c>
      <c r="R697" t="str">
        <f>IF(OR(P697&lt;Outliers!$B$5, P697&gt;Outliers!$B$6), "outliers", "")</f>
        <v/>
      </c>
    </row>
    <row r="698" spans="1:18" x14ac:dyDescent="0.25">
      <c r="A698" t="s">
        <v>2601</v>
      </c>
      <c r="B698" s="1">
        <v>45109</v>
      </c>
      <c r="C698">
        <v>2023</v>
      </c>
      <c r="D698" t="s">
        <v>28</v>
      </c>
      <c r="E698" t="s">
        <v>2602</v>
      </c>
      <c r="F698" t="s">
        <v>47</v>
      </c>
      <c r="G698">
        <v>4</v>
      </c>
      <c r="H698">
        <v>151.19999999999999</v>
      </c>
      <c r="I698" t="s">
        <v>2603</v>
      </c>
      <c r="J698" t="s">
        <v>67</v>
      </c>
      <c r="K698" t="s">
        <v>96</v>
      </c>
      <c r="L698" t="s">
        <v>2604</v>
      </c>
      <c r="M698">
        <v>9</v>
      </c>
      <c r="N698" t="s">
        <v>88</v>
      </c>
      <c r="O698" t="s">
        <v>51</v>
      </c>
      <c r="P698">
        <v>604.79999999999995</v>
      </c>
      <c r="Q698">
        <v>604.79999999999995</v>
      </c>
      <c r="R698" t="str">
        <f>IF(OR(P698&lt;Outliers!$B$5, P698&gt;Outliers!$B$6), "outliers", "")</f>
        <v/>
      </c>
    </row>
    <row r="699" spans="1:18" x14ac:dyDescent="0.25">
      <c r="A699" t="s">
        <v>2605</v>
      </c>
      <c r="B699" s="1">
        <v>45692</v>
      </c>
      <c r="C699">
        <v>2025</v>
      </c>
      <c r="D699" t="s">
        <v>18</v>
      </c>
      <c r="E699" t="s">
        <v>2606</v>
      </c>
      <c r="F699" t="s">
        <v>55</v>
      </c>
      <c r="G699">
        <v>5</v>
      </c>
      <c r="H699">
        <v>94.85</v>
      </c>
      <c r="I699" t="s">
        <v>2301</v>
      </c>
      <c r="J699" t="s">
        <v>72</v>
      </c>
      <c r="K699" t="s">
        <v>23</v>
      </c>
      <c r="L699" t="s">
        <v>2607</v>
      </c>
      <c r="M699">
        <v>6</v>
      </c>
      <c r="N699" t="s">
        <v>88</v>
      </c>
      <c r="O699" t="s">
        <v>43</v>
      </c>
      <c r="P699">
        <v>474.25</v>
      </c>
      <c r="Q699">
        <v>474.25</v>
      </c>
      <c r="R699" t="str">
        <f>IF(OR(P699&lt;Outliers!$B$5, P699&gt;Outliers!$B$6), "outliers", "")</f>
        <v/>
      </c>
    </row>
    <row r="700" spans="1:18" x14ac:dyDescent="0.25">
      <c r="A700" t="s">
        <v>2608</v>
      </c>
      <c r="B700" s="1">
        <v>44930</v>
      </c>
      <c r="C700">
        <v>2023</v>
      </c>
      <c r="D700" t="s">
        <v>18</v>
      </c>
      <c r="E700" t="s">
        <v>2609</v>
      </c>
      <c r="F700" t="s">
        <v>65</v>
      </c>
      <c r="G700">
        <v>2</v>
      </c>
      <c r="H700">
        <v>388.22</v>
      </c>
      <c r="I700" t="s">
        <v>1930</v>
      </c>
      <c r="J700" t="s">
        <v>72</v>
      </c>
      <c r="K700" t="s">
        <v>57</v>
      </c>
      <c r="L700" t="s">
        <v>2610</v>
      </c>
      <c r="M700">
        <v>2</v>
      </c>
      <c r="N700" t="s">
        <v>88</v>
      </c>
      <c r="O700" t="s">
        <v>26</v>
      </c>
      <c r="P700">
        <v>776.44</v>
      </c>
      <c r="Q700">
        <v>776.44</v>
      </c>
      <c r="R700" t="str">
        <f>IF(OR(P700&lt;Outliers!$B$5, P700&gt;Outliers!$B$6), "outliers", "")</f>
        <v/>
      </c>
    </row>
    <row r="701" spans="1:18" x14ac:dyDescent="0.25">
      <c r="A701" t="s">
        <v>2611</v>
      </c>
      <c r="B701" s="1">
        <v>45243</v>
      </c>
      <c r="C701">
        <v>2023</v>
      </c>
      <c r="D701" t="s">
        <v>45</v>
      </c>
      <c r="E701" t="s">
        <v>2612</v>
      </c>
      <c r="F701" t="s">
        <v>65</v>
      </c>
      <c r="G701">
        <v>3</v>
      </c>
      <c r="H701">
        <v>614.15</v>
      </c>
      <c r="I701" t="s">
        <v>2613</v>
      </c>
      <c r="J701" t="s">
        <v>67</v>
      </c>
      <c r="K701" t="s">
        <v>40</v>
      </c>
      <c r="L701" t="s">
        <v>2614</v>
      </c>
      <c r="M701">
        <v>3</v>
      </c>
      <c r="O701" t="s">
        <v>51</v>
      </c>
      <c r="P701">
        <v>1842.45</v>
      </c>
      <c r="Q701">
        <v>1842.45</v>
      </c>
      <c r="R701" t="str">
        <f>IF(OR(P701&lt;Outliers!$B$5, P701&gt;Outliers!$B$6), "outliers", "")</f>
        <v/>
      </c>
    </row>
    <row r="702" spans="1:18" x14ac:dyDescent="0.25">
      <c r="A702" t="s">
        <v>2615</v>
      </c>
      <c r="B702" s="1">
        <v>45560</v>
      </c>
      <c r="C702">
        <v>2024</v>
      </c>
      <c r="D702" t="s">
        <v>28</v>
      </c>
      <c r="E702" t="s">
        <v>2616</v>
      </c>
      <c r="F702" t="s">
        <v>65</v>
      </c>
      <c r="G702">
        <v>2</v>
      </c>
      <c r="H702">
        <v>92.91</v>
      </c>
      <c r="I702" t="s">
        <v>2617</v>
      </c>
      <c r="J702" t="s">
        <v>72</v>
      </c>
      <c r="K702" t="s">
        <v>49</v>
      </c>
      <c r="L702" t="s">
        <v>2618</v>
      </c>
      <c r="M702">
        <v>3</v>
      </c>
      <c r="N702" t="s">
        <v>88</v>
      </c>
      <c r="O702" t="s">
        <v>26</v>
      </c>
      <c r="P702">
        <v>185.82</v>
      </c>
      <c r="Q702">
        <v>185.82</v>
      </c>
      <c r="R702" t="str">
        <f>IF(OR(P702&lt;Outliers!$B$5, P702&gt;Outliers!$B$6), "outliers", "")</f>
        <v/>
      </c>
    </row>
    <row r="703" spans="1:18" x14ac:dyDescent="0.25">
      <c r="A703" t="s">
        <v>2619</v>
      </c>
      <c r="B703" s="1">
        <v>45466</v>
      </c>
      <c r="C703">
        <v>2024</v>
      </c>
      <c r="D703" t="s">
        <v>53</v>
      </c>
      <c r="E703" t="s">
        <v>2620</v>
      </c>
      <c r="F703" t="s">
        <v>20</v>
      </c>
      <c r="G703">
        <v>3</v>
      </c>
      <c r="H703">
        <v>92.22</v>
      </c>
      <c r="I703" t="s">
        <v>497</v>
      </c>
      <c r="J703" t="s">
        <v>39</v>
      </c>
      <c r="K703" t="s">
        <v>57</v>
      </c>
      <c r="L703" t="s">
        <v>2621</v>
      </c>
      <c r="M703">
        <v>5</v>
      </c>
      <c r="N703" t="s">
        <v>42</v>
      </c>
      <c r="O703" t="s">
        <v>43</v>
      </c>
      <c r="P703">
        <v>276.66000000000003</v>
      </c>
      <c r="Q703">
        <v>276.66000000000003</v>
      </c>
      <c r="R703" t="str">
        <f>IF(OR(P703&lt;Outliers!$B$5, P703&gt;Outliers!$B$6), "outliers", "")</f>
        <v/>
      </c>
    </row>
    <row r="704" spans="1:18" x14ac:dyDescent="0.25">
      <c r="A704" t="s">
        <v>2622</v>
      </c>
      <c r="B704" s="1">
        <v>45452</v>
      </c>
      <c r="C704">
        <v>2024</v>
      </c>
      <c r="D704" t="s">
        <v>53</v>
      </c>
      <c r="E704" t="s">
        <v>2623</v>
      </c>
      <c r="F704" t="s">
        <v>55</v>
      </c>
      <c r="G704">
        <v>3</v>
      </c>
      <c r="H704">
        <v>562.54999999999995</v>
      </c>
      <c r="I704" t="s">
        <v>2318</v>
      </c>
      <c r="J704" t="s">
        <v>22</v>
      </c>
      <c r="K704" t="s">
        <v>49</v>
      </c>
      <c r="L704" t="s">
        <v>2624</v>
      </c>
      <c r="M704">
        <v>6</v>
      </c>
      <c r="O704" t="s">
        <v>43</v>
      </c>
      <c r="P704">
        <v>1687.65</v>
      </c>
      <c r="Q704">
        <v>1687.65</v>
      </c>
      <c r="R704" t="str">
        <f>IF(OR(P704&lt;Outliers!$B$5, P704&gt;Outliers!$B$6), "outliers", "")</f>
        <v/>
      </c>
    </row>
    <row r="705" spans="1:18" x14ac:dyDescent="0.25">
      <c r="A705" t="s">
        <v>2625</v>
      </c>
      <c r="B705" s="1">
        <v>45007</v>
      </c>
      <c r="C705">
        <v>2023</v>
      </c>
      <c r="D705" t="s">
        <v>18</v>
      </c>
      <c r="E705" t="s">
        <v>2626</v>
      </c>
      <c r="F705" t="s">
        <v>80</v>
      </c>
      <c r="G705">
        <v>1</v>
      </c>
      <c r="H705">
        <v>92.79</v>
      </c>
      <c r="I705" t="s">
        <v>2627</v>
      </c>
      <c r="J705" t="s">
        <v>72</v>
      </c>
      <c r="K705" t="s">
        <v>96</v>
      </c>
      <c r="L705" t="s">
        <v>2628</v>
      </c>
      <c r="M705">
        <v>3</v>
      </c>
      <c r="N705" t="s">
        <v>88</v>
      </c>
      <c r="O705" t="s">
        <v>43</v>
      </c>
      <c r="P705">
        <v>92.79</v>
      </c>
      <c r="Q705">
        <v>92.79</v>
      </c>
      <c r="R705" t="str">
        <f>IF(OR(P705&lt;Outliers!$B$5, P705&gt;Outliers!$B$6), "outliers", "")</f>
        <v/>
      </c>
    </row>
    <row r="706" spans="1:18" x14ac:dyDescent="0.25">
      <c r="A706" t="s">
        <v>2629</v>
      </c>
      <c r="B706" s="1">
        <v>45080</v>
      </c>
      <c r="C706">
        <v>2023</v>
      </c>
      <c r="D706" t="s">
        <v>53</v>
      </c>
      <c r="E706" t="s">
        <v>2630</v>
      </c>
      <c r="F706" t="s">
        <v>80</v>
      </c>
      <c r="G706">
        <v>4</v>
      </c>
      <c r="H706">
        <v>30.27</v>
      </c>
      <c r="I706" t="s">
        <v>670</v>
      </c>
      <c r="J706" t="s">
        <v>32</v>
      </c>
      <c r="K706" t="s">
        <v>57</v>
      </c>
      <c r="L706" t="s">
        <v>2631</v>
      </c>
      <c r="M706">
        <v>9</v>
      </c>
      <c r="N706" t="s">
        <v>42</v>
      </c>
      <c r="O706" t="s">
        <v>83</v>
      </c>
      <c r="P706">
        <v>121.08</v>
      </c>
      <c r="Q706">
        <v>121.08</v>
      </c>
      <c r="R706" t="str">
        <f>IF(OR(P706&lt;Outliers!$B$5, P706&gt;Outliers!$B$6), "outliers", "")</f>
        <v/>
      </c>
    </row>
    <row r="707" spans="1:18" x14ac:dyDescent="0.25">
      <c r="A707" t="s">
        <v>2632</v>
      </c>
      <c r="B707" s="1">
        <v>45746</v>
      </c>
      <c r="C707">
        <v>2025</v>
      </c>
      <c r="D707" t="s">
        <v>18</v>
      </c>
      <c r="E707" t="s">
        <v>2633</v>
      </c>
      <c r="F707" t="s">
        <v>20</v>
      </c>
      <c r="G707">
        <v>2</v>
      </c>
      <c r="H707">
        <v>49.08</v>
      </c>
      <c r="I707" t="s">
        <v>2634</v>
      </c>
      <c r="J707" t="s">
        <v>22</v>
      </c>
      <c r="K707" t="s">
        <v>49</v>
      </c>
      <c r="L707" t="s">
        <v>2635</v>
      </c>
      <c r="M707">
        <v>7</v>
      </c>
      <c r="N707" t="s">
        <v>42</v>
      </c>
      <c r="O707" t="s">
        <v>26</v>
      </c>
      <c r="P707">
        <v>98.16</v>
      </c>
      <c r="Q707">
        <v>98.16</v>
      </c>
      <c r="R707" t="str">
        <f>IF(OR(P707&lt;Outliers!$B$5, P707&gt;Outliers!$B$6), "outliers", "")</f>
        <v/>
      </c>
    </row>
    <row r="708" spans="1:18" x14ac:dyDescent="0.25">
      <c r="A708" t="s">
        <v>2636</v>
      </c>
      <c r="B708" s="1">
        <v>45718</v>
      </c>
      <c r="C708">
        <v>2025</v>
      </c>
      <c r="D708" t="s">
        <v>18</v>
      </c>
      <c r="E708" t="s">
        <v>2637</v>
      </c>
      <c r="F708" t="s">
        <v>80</v>
      </c>
      <c r="G708">
        <v>5</v>
      </c>
      <c r="H708">
        <v>228.09</v>
      </c>
      <c r="I708" t="s">
        <v>1477</v>
      </c>
      <c r="J708" t="s">
        <v>67</v>
      </c>
      <c r="K708" t="s">
        <v>49</v>
      </c>
      <c r="L708" t="s">
        <v>2638</v>
      </c>
      <c r="M708">
        <v>9</v>
      </c>
      <c r="N708" t="s">
        <v>42</v>
      </c>
      <c r="O708" t="s">
        <v>51</v>
      </c>
      <c r="P708">
        <v>1140.45</v>
      </c>
      <c r="Q708">
        <v>1140.45</v>
      </c>
      <c r="R708" t="str">
        <f>IF(OR(P708&lt;Outliers!$B$5, P708&gt;Outliers!$B$6), "outliers", "")</f>
        <v/>
      </c>
    </row>
    <row r="709" spans="1:18" x14ac:dyDescent="0.25">
      <c r="A709" t="s">
        <v>2639</v>
      </c>
      <c r="B709" s="1">
        <v>45597</v>
      </c>
      <c r="C709">
        <v>2024</v>
      </c>
      <c r="D709" t="s">
        <v>45</v>
      </c>
      <c r="E709" t="s">
        <v>2640</v>
      </c>
      <c r="F709" t="s">
        <v>47</v>
      </c>
      <c r="G709">
        <v>4</v>
      </c>
      <c r="H709">
        <v>650.04</v>
      </c>
      <c r="I709" t="s">
        <v>374</v>
      </c>
      <c r="J709" t="s">
        <v>67</v>
      </c>
      <c r="K709" t="s">
        <v>40</v>
      </c>
      <c r="L709" t="s">
        <v>2641</v>
      </c>
      <c r="M709">
        <v>6</v>
      </c>
      <c r="N709" t="s">
        <v>25</v>
      </c>
      <c r="O709" t="s">
        <v>51</v>
      </c>
      <c r="P709">
        <v>2600.16</v>
      </c>
      <c r="Q709">
        <v>2600.16</v>
      </c>
      <c r="R709" t="str">
        <f>IF(OR(P709&lt;Outliers!$B$5, P709&gt;Outliers!$B$6), "outliers", "")</f>
        <v/>
      </c>
    </row>
    <row r="710" spans="1:18" x14ac:dyDescent="0.25">
      <c r="A710" t="s">
        <v>2642</v>
      </c>
      <c r="B710" s="1">
        <v>45720</v>
      </c>
      <c r="C710">
        <v>2025</v>
      </c>
      <c r="D710" t="s">
        <v>18</v>
      </c>
      <c r="E710" t="s">
        <v>2643</v>
      </c>
      <c r="F710" t="s">
        <v>55</v>
      </c>
      <c r="G710">
        <v>1</v>
      </c>
      <c r="H710">
        <v>665.11</v>
      </c>
      <c r="I710" t="s">
        <v>2301</v>
      </c>
      <c r="J710" t="s">
        <v>72</v>
      </c>
      <c r="K710" t="s">
        <v>96</v>
      </c>
      <c r="L710" t="s">
        <v>2644</v>
      </c>
      <c r="M710">
        <v>3</v>
      </c>
      <c r="N710" t="s">
        <v>42</v>
      </c>
      <c r="O710" t="s">
        <v>26</v>
      </c>
      <c r="P710">
        <v>665.11</v>
      </c>
      <c r="Q710">
        <v>665.11</v>
      </c>
      <c r="R710" t="str">
        <f>IF(OR(P710&lt;Outliers!$B$5, P710&gt;Outliers!$B$6), "outliers", "")</f>
        <v/>
      </c>
    </row>
    <row r="711" spans="1:18" x14ac:dyDescent="0.25">
      <c r="A711" t="s">
        <v>2645</v>
      </c>
      <c r="B711" s="1">
        <v>45633</v>
      </c>
      <c r="C711">
        <v>2024</v>
      </c>
      <c r="D711" t="s">
        <v>45</v>
      </c>
      <c r="E711" t="s">
        <v>2646</v>
      </c>
      <c r="F711" t="s">
        <v>80</v>
      </c>
      <c r="G711">
        <v>1</v>
      </c>
      <c r="H711">
        <v>386.03</v>
      </c>
      <c r="I711" t="s">
        <v>2647</v>
      </c>
      <c r="J711" t="s">
        <v>32</v>
      </c>
      <c r="K711" t="s">
        <v>96</v>
      </c>
      <c r="L711" t="s">
        <v>2648</v>
      </c>
      <c r="M711">
        <v>4</v>
      </c>
      <c r="N711" t="s">
        <v>42</v>
      </c>
      <c r="O711" t="s">
        <v>83</v>
      </c>
      <c r="P711">
        <v>386.03</v>
      </c>
      <c r="Q711">
        <v>386.03</v>
      </c>
      <c r="R711" t="str">
        <f>IF(OR(P711&lt;Outliers!$B$5, P711&gt;Outliers!$B$6), "outliers", "")</f>
        <v/>
      </c>
    </row>
    <row r="712" spans="1:18" x14ac:dyDescent="0.25">
      <c r="A712" t="s">
        <v>2649</v>
      </c>
      <c r="B712" s="1">
        <v>45495</v>
      </c>
      <c r="C712">
        <v>2024</v>
      </c>
      <c r="D712" t="s">
        <v>28</v>
      </c>
      <c r="E712" t="s">
        <v>2650</v>
      </c>
      <c r="F712" t="s">
        <v>65</v>
      </c>
      <c r="G712">
        <v>5</v>
      </c>
      <c r="H712">
        <v>21.54</v>
      </c>
      <c r="I712" t="s">
        <v>2651</v>
      </c>
      <c r="J712" t="s">
        <v>67</v>
      </c>
      <c r="K712" t="s">
        <v>49</v>
      </c>
      <c r="L712" t="s">
        <v>2652</v>
      </c>
      <c r="M712">
        <v>10</v>
      </c>
      <c r="O712" t="s">
        <v>83</v>
      </c>
      <c r="P712">
        <v>107.7</v>
      </c>
      <c r="Q712">
        <v>107.7</v>
      </c>
      <c r="R712" t="str">
        <f>IF(OR(P712&lt;Outliers!$B$5, P712&gt;Outliers!$B$6), "outliers", "")</f>
        <v/>
      </c>
    </row>
    <row r="713" spans="1:18" x14ac:dyDescent="0.25">
      <c r="A713" t="s">
        <v>2653</v>
      </c>
      <c r="B713" s="1">
        <v>45477</v>
      </c>
      <c r="C713">
        <v>2024</v>
      </c>
      <c r="D713" t="s">
        <v>28</v>
      </c>
      <c r="E713" t="s">
        <v>2654</v>
      </c>
      <c r="F713" t="s">
        <v>37</v>
      </c>
      <c r="G713">
        <v>2</v>
      </c>
      <c r="H713">
        <v>475.78</v>
      </c>
      <c r="I713" t="s">
        <v>2655</v>
      </c>
      <c r="J713" t="s">
        <v>32</v>
      </c>
      <c r="K713" t="s">
        <v>23</v>
      </c>
      <c r="L713" t="s">
        <v>2656</v>
      </c>
      <c r="M713">
        <v>2</v>
      </c>
      <c r="N713" t="s">
        <v>88</v>
      </c>
      <c r="O713" t="s">
        <v>83</v>
      </c>
      <c r="P713">
        <v>951.56</v>
      </c>
      <c r="Q713">
        <v>951.56</v>
      </c>
      <c r="R713" t="str">
        <f>IF(OR(P713&lt;Outliers!$B$5, P713&gt;Outliers!$B$6), "outliers", "")</f>
        <v/>
      </c>
    </row>
    <row r="714" spans="1:18" x14ac:dyDescent="0.25">
      <c r="A714" t="s">
        <v>2657</v>
      </c>
      <c r="B714" s="1">
        <v>45300</v>
      </c>
      <c r="C714">
        <v>2024</v>
      </c>
      <c r="D714" t="s">
        <v>18</v>
      </c>
      <c r="E714" t="s">
        <v>2126</v>
      </c>
      <c r="F714" t="s">
        <v>37</v>
      </c>
      <c r="G714">
        <v>2</v>
      </c>
      <c r="H714">
        <v>68.400000000000006</v>
      </c>
      <c r="I714" t="s">
        <v>2658</v>
      </c>
      <c r="J714" t="s">
        <v>67</v>
      </c>
      <c r="K714" t="s">
        <v>96</v>
      </c>
      <c r="L714" t="s">
        <v>2659</v>
      </c>
      <c r="M714">
        <v>7</v>
      </c>
      <c r="N714" t="s">
        <v>42</v>
      </c>
      <c r="O714" t="s">
        <v>43</v>
      </c>
      <c r="P714">
        <v>136.80000000000001</v>
      </c>
      <c r="Q714">
        <v>136.80000000000001</v>
      </c>
      <c r="R714" t="str">
        <f>IF(OR(P714&lt;Outliers!$B$5, P714&gt;Outliers!$B$6), "outliers", "")</f>
        <v/>
      </c>
    </row>
    <row r="715" spans="1:18" x14ac:dyDescent="0.25">
      <c r="A715" t="s">
        <v>2660</v>
      </c>
      <c r="B715" s="1">
        <v>45829</v>
      </c>
      <c r="C715">
        <v>2025</v>
      </c>
      <c r="D715" t="s">
        <v>53</v>
      </c>
      <c r="E715" t="s">
        <v>2661</v>
      </c>
      <c r="F715" t="s">
        <v>37</v>
      </c>
      <c r="G715">
        <v>4</v>
      </c>
      <c r="H715">
        <v>532.49</v>
      </c>
      <c r="I715" t="s">
        <v>2564</v>
      </c>
      <c r="J715" t="s">
        <v>32</v>
      </c>
      <c r="K715" t="s">
        <v>40</v>
      </c>
      <c r="L715" t="s">
        <v>2662</v>
      </c>
      <c r="M715">
        <v>6</v>
      </c>
      <c r="N715" t="s">
        <v>25</v>
      </c>
      <c r="O715" t="s">
        <v>51</v>
      </c>
      <c r="P715">
        <v>2129.96</v>
      </c>
      <c r="Q715">
        <v>2129.96</v>
      </c>
      <c r="R715" t="str">
        <f>IF(OR(P715&lt;Outliers!$B$5, P715&gt;Outliers!$B$6), "outliers", "")</f>
        <v/>
      </c>
    </row>
    <row r="716" spans="1:18" x14ac:dyDescent="0.25">
      <c r="A716" t="s">
        <v>2663</v>
      </c>
      <c r="B716" s="1">
        <v>45037</v>
      </c>
      <c r="C716">
        <v>2023</v>
      </c>
      <c r="D716" t="s">
        <v>53</v>
      </c>
      <c r="E716" t="s">
        <v>2664</v>
      </c>
      <c r="F716" t="s">
        <v>65</v>
      </c>
      <c r="G716">
        <v>1</v>
      </c>
      <c r="H716">
        <v>51.73</v>
      </c>
      <c r="I716" t="s">
        <v>1183</v>
      </c>
      <c r="J716" t="s">
        <v>22</v>
      </c>
      <c r="K716" t="s">
        <v>96</v>
      </c>
      <c r="L716" t="s">
        <v>2665</v>
      </c>
      <c r="M716">
        <v>1</v>
      </c>
      <c r="N716" t="s">
        <v>42</v>
      </c>
      <c r="O716" t="s">
        <v>51</v>
      </c>
      <c r="P716">
        <v>51.73</v>
      </c>
      <c r="Q716">
        <v>51.73</v>
      </c>
      <c r="R716" t="str">
        <f>IF(OR(P716&lt;Outliers!$B$5, P716&gt;Outliers!$B$6), "outliers", "")</f>
        <v/>
      </c>
    </row>
    <row r="717" spans="1:18" x14ac:dyDescent="0.25">
      <c r="A717" t="s">
        <v>2666</v>
      </c>
      <c r="B717" s="1">
        <v>45499</v>
      </c>
      <c r="C717">
        <v>2024</v>
      </c>
      <c r="D717" t="s">
        <v>28</v>
      </c>
      <c r="E717" t="s">
        <v>2667</v>
      </c>
      <c r="F717" t="s">
        <v>55</v>
      </c>
      <c r="G717">
        <v>3</v>
      </c>
      <c r="H717">
        <v>653.63</v>
      </c>
      <c r="I717" t="s">
        <v>2668</v>
      </c>
      <c r="J717" t="s">
        <v>32</v>
      </c>
      <c r="K717" t="s">
        <v>57</v>
      </c>
      <c r="L717" t="s">
        <v>2669</v>
      </c>
      <c r="M717">
        <v>7</v>
      </c>
      <c r="N717" t="s">
        <v>42</v>
      </c>
      <c r="O717" t="s">
        <v>43</v>
      </c>
      <c r="P717">
        <v>1960.89</v>
      </c>
      <c r="Q717">
        <v>1960.89</v>
      </c>
      <c r="R717" t="str">
        <f>IF(OR(P717&lt;Outliers!$B$5, P717&gt;Outliers!$B$6), "outliers", "")</f>
        <v/>
      </c>
    </row>
    <row r="718" spans="1:18" x14ac:dyDescent="0.25">
      <c r="A718" t="s">
        <v>2670</v>
      </c>
      <c r="B718" s="1">
        <v>45456</v>
      </c>
      <c r="C718">
        <v>2024</v>
      </c>
      <c r="D718" t="s">
        <v>53</v>
      </c>
      <c r="E718" t="s">
        <v>2671</v>
      </c>
      <c r="F718" t="s">
        <v>47</v>
      </c>
      <c r="G718">
        <v>3</v>
      </c>
      <c r="H718">
        <v>454.29</v>
      </c>
      <c r="I718" t="s">
        <v>120</v>
      </c>
      <c r="J718" t="s">
        <v>39</v>
      </c>
      <c r="K718" t="s">
        <v>96</v>
      </c>
      <c r="L718" t="s">
        <v>2672</v>
      </c>
      <c r="M718">
        <v>4</v>
      </c>
      <c r="N718" t="s">
        <v>88</v>
      </c>
      <c r="O718" t="s">
        <v>83</v>
      </c>
      <c r="P718">
        <v>1362.87</v>
      </c>
      <c r="Q718">
        <v>1362.87</v>
      </c>
      <c r="R718" t="str">
        <f>IF(OR(P718&lt;Outliers!$B$5, P718&gt;Outliers!$B$6), "outliers", "")</f>
        <v/>
      </c>
    </row>
    <row r="719" spans="1:18" x14ac:dyDescent="0.25">
      <c r="A719" t="s">
        <v>2673</v>
      </c>
      <c r="B719" s="1">
        <v>45215</v>
      </c>
      <c r="C719">
        <v>2023</v>
      </c>
      <c r="D719" t="s">
        <v>45</v>
      </c>
      <c r="E719" t="s">
        <v>2674</v>
      </c>
      <c r="F719" t="s">
        <v>47</v>
      </c>
      <c r="G719">
        <v>3</v>
      </c>
      <c r="H719">
        <v>122.11</v>
      </c>
      <c r="I719" t="s">
        <v>2675</v>
      </c>
      <c r="J719" t="s">
        <v>32</v>
      </c>
      <c r="K719" t="s">
        <v>57</v>
      </c>
      <c r="L719" t="s">
        <v>2676</v>
      </c>
      <c r="M719">
        <v>4</v>
      </c>
      <c r="N719" t="s">
        <v>88</v>
      </c>
      <c r="O719" t="s">
        <v>43</v>
      </c>
      <c r="P719">
        <v>366.33</v>
      </c>
      <c r="Q719">
        <v>366.33</v>
      </c>
      <c r="R719" t="str">
        <f>IF(OR(P719&lt;Outliers!$B$5, P719&gt;Outliers!$B$6), "outliers", "")</f>
        <v/>
      </c>
    </row>
    <row r="720" spans="1:18" x14ac:dyDescent="0.25">
      <c r="A720" t="s">
        <v>2677</v>
      </c>
      <c r="B720" s="1">
        <v>45024</v>
      </c>
      <c r="C720">
        <v>2023</v>
      </c>
      <c r="D720" t="s">
        <v>53</v>
      </c>
      <c r="E720" t="s">
        <v>2678</v>
      </c>
      <c r="F720" t="s">
        <v>65</v>
      </c>
      <c r="G720">
        <v>4</v>
      </c>
      <c r="H720">
        <v>64.739999999999995</v>
      </c>
      <c r="I720" t="s">
        <v>2679</v>
      </c>
      <c r="J720" t="s">
        <v>67</v>
      </c>
      <c r="K720" t="s">
        <v>40</v>
      </c>
      <c r="L720" t="s">
        <v>2680</v>
      </c>
      <c r="M720">
        <v>8</v>
      </c>
      <c r="N720" t="s">
        <v>25</v>
      </c>
      <c r="O720" t="s">
        <v>83</v>
      </c>
      <c r="P720">
        <v>258.95999999999998</v>
      </c>
      <c r="Q720">
        <v>258.95999999999998</v>
      </c>
      <c r="R720" t="str">
        <f>IF(OR(P720&lt;Outliers!$B$5, P720&gt;Outliers!$B$6), "outliers", "")</f>
        <v/>
      </c>
    </row>
    <row r="721" spans="1:18" x14ac:dyDescent="0.25">
      <c r="A721" t="s">
        <v>2681</v>
      </c>
      <c r="B721" s="1">
        <v>45312</v>
      </c>
      <c r="C721">
        <v>2024</v>
      </c>
      <c r="D721" t="s">
        <v>18</v>
      </c>
      <c r="E721" t="s">
        <v>2682</v>
      </c>
      <c r="F721" t="s">
        <v>65</v>
      </c>
      <c r="G721">
        <v>2</v>
      </c>
      <c r="H721">
        <v>681.06</v>
      </c>
      <c r="I721" t="s">
        <v>2683</v>
      </c>
      <c r="J721" t="s">
        <v>22</v>
      </c>
      <c r="K721" t="s">
        <v>23</v>
      </c>
      <c r="L721" t="s">
        <v>2684</v>
      </c>
      <c r="M721">
        <v>3</v>
      </c>
      <c r="N721" t="s">
        <v>42</v>
      </c>
      <c r="O721" t="s">
        <v>51</v>
      </c>
      <c r="P721">
        <v>1362.12</v>
      </c>
      <c r="Q721">
        <v>1362.12</v>
      </c>
      <c r="R721" t="str">
        <f>IF(OR(P721&lt;Outliers!$B$5, P721&gt;Outliers!$B$6), "outliers", "")</f>
        <v/>
      </c>
    </row>
    <row r="722" spans="1:18" x14ac:dyDescent="0.25">
      <c r="A722" t="s">
        <v>2685</v>
      </c>
      <c r="B722" s="1">
        <v>45190</v>
      </c>
      <c r="C722">
        <v>2023</v>
      </c>
      <c r="D722" t="s">
        <v>28</v>
      </c>
      <c r="E722" t="s">
        <v>2686</v>
      </c>
      <c r="F722" t="s">
        <v>80</v>
      </c>
      <c r="G722">
        <v>5</v>
      </c>
      <c r="H722">
        <v>128.94999999999999</v>
      </c>
      <c r="I722" t="s">
        <v>2687</v>
      </c>
      <c r="J722" t="s">
        <v>72</v>
      </c>
      <c r="K722" t="s">
        <v>96</v>
      </c>
      <c r="L722" t="s">
        <v>2688</v>
      </c>
      <c r="M722">
        <v>10</v>
      </c>
      <c r="N722" t="s">
        <v>42</v>
      </c>
      <c r="O722" t="s">
        <v>26</v>
      </c>
      <c r="P722">
        <v>644.75</v>
      </c>
      <c r="Q722">
        <v>644.75</v>
      </c>
      <c r="R722" t="str">
        <f>IF(OR(P722&lt;Outliers!$B$5, P722&gt;Outliers!$B$6), "outliers", "")</f>
        <v/>
      </c>
    </row>
    <row r="723" spans="1:18" x14ac:dyDescent="0.25">
      <c r="A723" t="s">
        <v>2689</v>
      </c>
      <c r="B723" s="1">
        <v>45369</v>
      </c>
      <c r="C723">
        <v>2024</v>
      </c>
      <c r="D723" t="s">
        <v>18</v>
      </c>
      <c r="E723" t="s">
        <v>2690</v>
      </c>
      <c r="F723" t="s">
        <v>80</v>
      </c>
      <c r="G723">
        <v>2</v>
      </c>
      <c r="H723">
        <v>118.59</v>
      </c>
      <c r="I723" t="s">
        <v>2691</v>
      </c>
      <c r="J723" t="s">
        <v>39</v>
      </c>
      <c r="K723" t="s">
        <v>57</v>
      </c>
      <c r="L723" t="s">
        <v>2692</v>
      </c>
      <c r="M723">
        <v>2</v>
      </c>
      <c r="O723" t="s">
        <v>43</v>
      </c>
      <c r="P723">
        <v>237.18</v>
      </c>
      <c r="Q723">
        <v>237.18</v>
      </c>
      <c r="R723" t="str">
        <f>IF(OR(P723&lt;Outliers!$B$5, P723&gt;Outliers!$B$6), "outliers", "")</f>
        <v/>
      </c>
    </row>
    <row r="724" spans="1:18" x14ac:dyDescent="0.25">
      <c r="A724" t="s">
        <v>2693</v>
      </c>
      <c r="B724" s="1">
        <v>45611</v>
      </c>
      <c r="C724">
        <v>2024</v>
      </c>
      <c r="D724" t="s">
        <v>45</v>
      </c>
      <c r="E724" t="s">
        <v>2694</v>
      </c>
      <c r="F724" t="s">
        <v>55</v>
      </c>
      <c r="G724">
        <v>1</v>
      </c>
      <c r="H724">
        <v>95.1</v>
      </c>
      <c r="I724" t="s">
        <v>1144</v>
      </c>
      <c r="J724" t="s">
        <v>67</v>
      </c>
      <c r="K724" t="s">
        <v>96</v>
      </c>
      <c r="L724" t="s">
        <v>2695</v>
      </c>
      <c r="M724">
        <v>1</v>
      </c>
      <c r="N724" t="s">
        <v>88</v>
      </c>
      <c r="O724" t="s">
        <v>26</v>
      </c>
      <c r="P724">
        <v>95.1</v>
      </c>
      <c r="Q724">
        <v>95.1</v>
      </c>
      <c r="R724" t="str">
        <f>IF(OR(P724&lt;Outliers!$B$5, P724&gt;Outliers!$B$6), "outliers", "")</f>
        <v/>
      </c>
    </row>
    <row r="725" spans="1:18" x14ac:dyDescent="0.25">
      <c r="A725" t="s">
        <v>2696</v>
      </c>
      <c r="B725" s="1">
        <v>45269</v>
      </c>
      <c r="C725">
        <v>2023</v>
      </c>
      <c r="D725" t="s">
        <v>45</v>
      </c>
      <c r="E725" t="s">
        <v>2697</v>
      </c>
      <c r="F725" t="s">
        <v>80</v>
      </c>
      <c r="G725">
        <v>3</v>
      </c>
      <c r="H725">
        <v>54.95</v>
      </c>
      <c r="I725" t="s">
        <v>304</v>
      </c>
      <c r="J725" t="s">
        <v>72</v>
      </c>
      <c r="K725" t="s">
        <v>49</v>
      </c>
      <c r="L725" t="s">
        <v>2698</v>
      </c>
      <c r="M725">
        <v>8</v>
      </c>
      <c r="N725" t="s">
        <v>25</v>
      </c>
      <c r="O725" t="s">
        <v>34</v>
      </c>
      <c r="P725">
        <v>164.85</v>
      </c>
      <c r="Q725">
        <v>164.85</v>
      </c>
      <c r="R725" t="str">
        <f>IF(OR(P725&lt;Outliers!$B$5, P725&gt;Outliers!$B$6), "outliers", "")</f>
        <v/>
      </c>
    </row>
    <row r="726" spans="1:18" x14ac:dyDescent="0.25">
      <c r="A726" t="s">
        <v>2699</v>
      </c>
      <c r="B726" s="1">
        <v>45583</v>
      </c>
      <c r="C726">
        <v>2024</v>
      </c>
      <c r="D726" t="s">
        <v>45</v>
      </c>
      <c r="E726" t="s">
        <v>2700</v>
      </c>
      <c r="F726" t="s">
        <v>55</v>
      </c>
      <c r="G726">
        <v>3</v>
      </c>
      <c r="H726">
        <v>136.97</v>
      </c>
      <c r="I726" t="s">
        <v>1217</v>
      </c>
      <c r="J726" t="s">
        <v>39</v>
      </c>
      <c r="K726" t="s">
        <v>49</v>
      </c>
      <c r="L726" t="s">
        <v>2701</v>
      </c>
      <c r="M726">
        <v>4</v>
      </c>
      <c r="N726" t="s">
        <v>42</v>
      </c>
      <c r="O726" t="s">
        <v>34</v>
      </c>
      <c r="P726">
        <v>410.91</v>
      </c>
      <c r="Q726">
        <v>410.91</v>
      </c>
      <c r="R726" t="str">
        <f>IF(OR(P726&lt;Outliers!$B$5, P726&gt;Outliers!$B$6), "outliers", "")</f>
        <v/>
      </c>
    </row>
    <row r="727" spans="1:18" x14ac:dyDescent="0.25">
      <c r="A727" t="s">
        <v>2702</v>
      </c>
      <c r="B727" s="1">
        <v>44997</v>
      </c>
      <c r="C727">
        <v>2023</v>
      </c>
      <c r="D727" t="s">
        <v>18</v>
      </c>
      <c r="E727" t="s">
        <v>2703</v>
      </c>
      <c r="F727" t="s">
        <v>47</v>
      </c>
      <c r="G727">
        <v>2</v>
      </c>
      <c r="H727">
        <v>194.85</v>
      </c>
      <c r="I727" t="s">
        <v>1904</v>
      </c>
      <c r="J727" t="s">
        <v>67</v>
      </c>
      <c r="K727" t="s">
        <v>49</v>
      </c>
      <c r="L727" t="s">
        <v>2704</v>
      </c>
      <c r="M727">
        <v>5</v>
      </c>
      <c r="O727" t="s">
        <v>34</v>
      </c>
      <c r="P727">
        <v>389.7</v>
      </c>
      <c r="Q727">
        <v>389.7</v>
      </c>
      <c r="R727" t="str">
        <f>IF(OR(P727&lt;Outliers!$B$5, P727&gt;Outliers!$B$6), "outliers", "")</f>
        <v/>
      </c>
    </row>
    <row r="728" spans="1:18" x14ac:dyDescent="0.25">
      <c r="A728" t="s">
        <v>2705</v>
      </c>
      <c r="B728" s="1">
        <v>45590</v>
      </c>
      <c r="C728">
        <v>2024</v>
      </c>
      <c r="D728" t="s">
        <v>45</v>
      </c>
      <c r="E728" t="s">
        <v>2706</v>
      </c>
      <c r="F728" t="s">
        <v>65</v>
      </c>
      <c r="G728">
        <v>4</v>
      </c>
      <c r="H728">
        <v>583.02</v>
      </c>
      <c r="I728" t="s">
        <v>2707</v>
      </c>
      <c r="J728" t="s">
        <v>32</v>
      </c>
      <c r="K728" t="s">
        <v>57</v>
      </c>
      <c r="L728" t="s">
        <v>2708</v>
      </c>
      <c r="M728">
        <v>4</v>
      </c>
      <c r="N728" t="s">
        <v>42</v>
      </c>
      <c r="O728" t="s">
        <v>51</v>
      </c>
      <c r="P728">
        <v>2332.08</v>
      </c>
      <c r="Q728">
        <v>2332.08</v>
      </c>
      <c r="R728" t="str">
        <f>IF(OR(P728&lt;Outliers!$B$5, P728&gt;Outliers!$B$6), "outliers", "")</f>
        <v/>
      </c>
    </row>
    <row r="729" spans="1:18" x14ac:dyDescent="0.25">
      <c r="A729" t="s">
        <v>2709</v>
      </c>
      <c r="B729" s="1">
        <v>45564</v>
      </c>
      <c r="C729">
        <v>2024</v>
      </c>
      <c r="D729" t="s">
        <v>28</v>
      </c>
      <c r="E729" t="s">
        <v>2710</v>
      </c>
      <c r="F729" t="s">
        <v>47</v>
      </c>
      <c r="G729">
        <v>5</v>
      </c>
      <c r="H729">
        <v>95.75</v>
      </c>
      <c r="I729" t="s">
        <v>1667</v>
      </c>
      <c r="J729" t="s">
        <v>32</v>
      </c>
      <c r="K729" t="s">
        <v>23</v>
      </c>
      <c r="L729" t="s">
        <v>2711</v>
      </c>
      <c r="M729">
        <v>8</v>
      </c>
      <c r="N729" t="s">
        <v>25</v>
      </c>
      <c r="O729" t="s">
        <v>26</v>
      </c>
      <c r="P729">
        <v>478.75</v>
      </c>
      <c r="Q729">
        <v>478.75</v>
      </c>
      <c r="R729" t="str">
        <f>IF(OR(P729&lt;Outliers!$B$5, P729&gt;Outliers!$B$6), "outliers", "")</f>
        <v/>
      </c>
    </row>
    <row r="730" spans="1:18" x14ac:dyDescent="0.25">
      <c r="A730" t="s">
        <v>2712</v>
      </c>
      <c r="B730" s="1">
        <v>45502</v>
      </c>
      <c r="C730">
        <v>2024</v>
      </c>
      <c r="D730" t="s">
        <v>28</v>
      </c>
      <c r="E730" t="s">
        <v>2713</v>
      </c>
      <c r="F730" t="s">
        <v>80</v>
      </c>
      <c r="G730">
        <v>4</v>
      </c>
      <c r="H730">
        <v>325.76</v>
      </c>
      <c r="I730" t="s">
        <v>2714</v>
      </c>
      <c r="J730" t="s">
        <v>67</v>
      </c>
      <c r="K730" t="s">
        <v>23</v>
      </c>
      <c r="L730" t="s">
        <v>2715</v>
      </c>
      <c r="M730">
        <v>8</v>
      </c>
      <c r="N730" t="s">
        <v>88</v>
      </c>
      <c r="O730" t="s">
        <v>43</v>
      </c>
      <c r="P730">
        <v>1303.04</v>
      </c>
      <c r="Q730">
        <v>1303.04</v>
      </c>
      <c r="R730" t="str">
        <f>IF(OR(P730&lt;Outliers!$B$5, P730&gt;Outliers!$B$6), "outliers", "")</f>
        <v/>
      </c>
    </row>
    <row r="731" spans="1:18" x14ac:dyDescent="0.25">
      <c r="A731" t="s">
        <v>2716</v>
      </c>
      <c r="B731" s="1">
        <v>45177</v>
      </c>
      <c r="C731">
        <v>2023</v>
      </c>
      <c r="D731" t="s">
        <v>28</v>
      </c>
      <c r="E731" t="s">
        <v>2717</v>
      </c>
      <c r="F731" t="s">
        <v>30</v>
      </c>
      <c r="G731">
        <v>4</v>
      </c>
      <c r="H731">
        <v>186.41</v>
      </c>
      <c r="I731" t="s">
        <v>670</v>
      </c>
      <c r="J731" t="s">
        <v>67</v>
      </c>
      <c r="K731" t="s">
        <v>96</v>
      </c>
      <c r="L731" t="s">
        <v>2718</v>
      </c>
      <c r="M731">
        <v>6</v>
      </c>
      <c r="N731" t="s">
        <v>25</v>
      </c>
      <c r="O731" t="s">
        <v>83</v>
      </c>
      <c r="P731">
        <v>745.64</v>
      </c>
      <c r="Q731">
        <v>745.64</v>
      </c>
      <c r="R731" t="str">
        <f>IF(OR(P731&lt;Outliers!$B$5, P731&gt;Outliers!$B$6), "outliers", "")</f>
        <v/>
      </c>
    </row>
    <row r="732" spans="1:18" x14ac:dyDescent="0.25">
      <c r="A732" t="s">
        <v>2719</v>
      </c>
      <c r="B732" s="1">
        <v>45710</v>
      </c>
      <c r="C732">
        <v>2025</v>
      </c>
      <c r="D732" t="s">
        <v>18</v>
      </c>
      <c r="E732" t="s">
        <v>2720</v>
      </c>
      <c r="F732" t="s">
        <v>30</v>
      </c>
      <c r="G732">
        <v>1</v>
      </c>
      <c r="H732">
        <v>474.6</v>
      </c>
      <c r="I732" t="s">
        <v>979</v>
      </c>
      <c r="J732" t="s">
        <v>22</v>
      </c>
      <c r="K732" t="s">
        <v>57</v>
      </c>
      <c r="L732" t="s">
        <v>2721</v>
      </c>
      <c r="M732">
        <v>4</v>
      </c>
      <c r="N732" t="s">
        <v>25</v>
      </c>
      <c r="O732" t="s">
        <v>43</v>
      </c>
      <c r="P732">
        <v>474.6</v>
      </c>
      <c r="Q732">
        <v>474.6</v>
      </c>
      <c r="R732" t="str">
        <f>IF(OR(P732&lt;Outliers!$B$5, P732&gt;Outliers!$B$6), "outliers", "")</f>
        <v/>
      </c>
    </row>
    <row r="733" spans="1:18" x14ac:dyDescent="0.25">
      <c r="A733" t="s">
        <v>2722</v>
      </c>
      <c r="B733" s="1">
        <v>45450</v>
      </c>
      <c r="C733">
        <v>2024</v>
      </c>
      <c r="D733" t="s">
        <v>53</v>
      </c>
      <c r="E733" t="s">
        <v>2723</v>
      </c>
      <c r="F733" t="s">
        <v>55</v>
      </c>
      <c r="G733">
        <v>5</v>
      </c>
      <c r="H733">
        <v>584.46</v>
      </c>
      <c r="I733" t="s">
        <v>2724</v>
      </c>
      <c r="J733" t="s">
        <v>39</v>
      </c>
      <c r="K733" t="s">
        <v>49</v>
      </c>
      <c r="L733" t="s">
        <v>2725</v>
      </c>
      <c r="M733">
        <v>8</v>
      </c>
      <c r="O733" t="s">
        <v>43</v>
      </c>
      <c r="P733">
        <v>2922.3</v>
      </c>
      <c r="Q733">
        <v>2922.3</v>
      </c>
      <c r="R733" t="str">
        <f>IF(OR(P733&lt;Outliers!$B$5, P733&gt;Outliers!$B$6), "outliers", "")</f>
        <v/>
      </c>
    </row>
    <row r="734" spans="1:18" x14ac:dyDescent="0.25">
      <c r="A734" t="s">
        <v>2726</v>
      </c>
      <c r="B734" s="1">
        <v>45723</v>
      </c>
      <c r="C734">
        <v>2025</v>
      </c>
      <c r="D734" t="s">
        <v>18</v>
      </c>
      <c r="E734" t="s">
        <v>2727</v>
      </c>
      <c r="F734" t="s">
        <v>65</v>
      </c>
      <c r="G734">
        <v>1</v>
      </c>
      <c r="H734">
        <v>132.05000000000001</v>
      </c>
      <c r="I734" t="s">
        <v>2579</v>
      </c>
      <c r="J734" t="s">
        <v>32</v>
      </c>
      <c r="K734" t="s">
        <v>57</v>
      </c>
      <c r="L734" t="s">
        <v>2728</v>
      </c>
      <c r="M734">
        <v>2</v>
      </c>
      <c r="O734" t="s">
        <v>83</v>
      </c>
      <c r="P734">
        <v>132.05000000000001</v>
      </c>
      <c r="Q734">
        <v>132.05000000000001</v>
      </c>
      <c r="R734" t="str">
        <f>IF(OR(P734&lt;Outliers!$B$5, P734&gt;Outliers!$B$6), "outliers", "")</f>
        <v/>
      </c>
    </row>
    <row r="735" spans="1:18" x14ac:dyDescent="0.25">
      <c r="A735" t="s">
        <v>2729</v>
      </c>
      <c r="B735" s="1">
        <v>45264</v>
      </c>
      <c r="C735">
        <v>2023</v>
      </c>
      <c r="D735" t="s">
        <v>45</v>
      </c>
      <c r="E735" t="s">
        <v>2730</v>
      </c>
      <c r="F735" t="s">
        <v>37</v>
      </c>
      <c r="G735">
        <v>4</v>
      </c>
      <c r="H735">
        <v>494.84</v>
      </c>
      <c r="I735" t="s">
        <v>2545</v>
      </c>
      <c r="J735" t="s">
        <v>72</v>
      </c>
      <c r="K735" t="s">
        <v>49</v>
      </c>
      <c r="L735" t="s">
        <v>2731</v>
      </c>
      <c r="M735">
        <v>8</v>
      </c>
      <c r="N735" t="s">
        <v>25</v>
      </c>
      <c r="O735" t="s">
        <v>43</v>
      </c>
      <c r="P735">
        <v>1979.36</v>
      </c>
      <c r="Q735">
        <v>1979.36</v>
      </c>
      <c r="R735" t="str">
        <f>IF(OR(P735&lt;Outliers!$B$5, P735&gt;Outliers!$B$6), "outliers", "")</f>
        <v/>
      </c>
    </row>
    <row r="736" spans="1:18" x14ac:dyDescent="0.25">
      <c r="A736" t="s">
        <v>2732</v>
      </c>
      <c r="B736" s="1">
        <v>45314</v>
      </c>
      <c r="C736">
        <v>2024</v>
      </c>
      <c r="D736" t="s">
        <v>18</v>
      </c>
      <c r="E736" t="s">
        <v>2733</v>
      </c>
      <c r="F736" t="s">
        <v>55</v>
      </c>
      <c r="G736">
        <v>4</v>
      </c>
      <c r="H736">
        <v>224.61</v>
      </c>
      <c r="I736" t="s">
        <v>1154</v>
      </c>
      <c r="J736" t="s">
        <v>39</v>
      </c>
      <c r="K736" t="s">
        <v>49</v>
      </c>
      <c r="L736" t="s">
        <v>2734</v>
      </c>
      <c r="M736">
        <v>6</v>
      </c>
      <c r="N736" t="s">
        <v>88</v>
      </c>
      <c r="O736" t="s">
        <v>51</v>
      </c>
      <c r="P736">
        <v>898.44</v>
      </c>
      <c r="Q736">
        <v>898.44</v>
      </c>
      <c r="R736" t="str">
        <f>IF(OR(P736&lt;Outliers!$B$5, P736&gt;Outliers!$B$6), "outliers", "")</f>
        <v/>
      </c>
    </row>
    <row r="737" spans="1:18" x14ac:dyDescent="0.25">
      <c r="A737" t="s">
        <v>2735</v>
      </c>
      <c r="B737" s="1">
        <v>45471</v>
      </c>
      <c r="C737">
        <v>2024</v>
      </c>
      <c r="D737" t="s">
        <v>53</v>
      </c>
      <c r="E737" t="s">
        <v>2736</v>
      </c>
      <c r="F737" t="s">
        <v>20</v>
      </c>
      <c r="G737">
        <v>4</v>
      </c>
      <c r="H737">
        <v>44.07</v>
      </c>
      <c r="I737" t="s">
        <v>1549</v>
      </c>
      <c r="J737" t="s">
        <v>22</v>
      </c>
      <c r="K737" t="s">
        <v>96</v>
      </c>
      <c r="L737" t="s">
        <v>2737</v>
      </c>
      <c r="M737">
        <v>6</v>
      </c>
      <c r="O737" t="s">
        <v>43</v>
      </c>
      <c r="P737">
        <v>176.28</v>
      </c>
      <c r="Q737">
        <v>176.28</v>
      </c>
      <c r="R737" t="str">
        <f>IF(OR(P737&lt;Outliers!$B$5, P737&gt;Outliers!$B$6), "outliers", "")</f>
        <v/>
      </c>
    </row>
    <row r="738" spans="1:18" x14ac:dyDescent="0.25">
      <c r="A738" t="s">
        <v>2738</v>
      </c>
      <c r="B738" s="1">
        <v>45331</v>
      </c>
      <c r="C738">
        <v>2024</v>
      </c>
      <c r="D738" t="s">
        <v>18</v>
      </c>
      <c r="E738" t="s">
        <v>2739</v>
      </c>
      <c r="F738" t="s">
        <v>20</v>
      </c>
      <c r="G738">
        <v>5</v>
      </c>
      <c r="H738">
        <v>418.53</v>
      </c>
      <c r="I738" t="s">
        <v>1952</v>
      </c>
      <c r="J738" t="s">
        <v>39</v>
      </c>
      <c r="K738" t="s">
        <v>96</v>
      </c>
      <c r="L738" t="s">
        <v>2740</v>
      </c>
      <c r="M738">
        <v>6</v>
      </c>
      <c r="N738" t="s">
        <v>42</v>
      </c>
      <c r="O738" t="s">
        <v>83</v>
      </c>
      <c r="P738">
        <v>2092.65</v>
      </c>
      <c r="Q738">
        <v>2092.65</v>
      </c>
      <c r="R738" t="str">
        <f>IF(OR(P738&lt;Outliers!$B$5, P738&gt;Outliers!$B$6), "outliers", "")</f>
        <v/>
      </c>
    </row>
    <row r="739" spans="1:18" x14ac:dyDescent="0.25">
      <c r="A739" t="s">
        <v>2741</v>
      </c>
      <c r="B739" s="1">
        <v>45294</v>
      </c>
      <c r="C739">
        <v>2024</v>
      </c>
      <c r="D739" t="s">
        <v>18</v>
      </c>
      <c r="E739" t="s">
        <v>2742</v>
      </c>
      <c r="F739" t="s">
        <v>30</v>
      </c>
      <c r="G739">
        <v>4</v>
      </c>
      <c r="H739">
        <v>532.87</v>
      </c>
      <c r="I739" t="s">
        <v>2743</v>
      </c>
      <c r="J739" t="s">
        <v>72</v>
      </c>
      <c r="K739" t="s">
        <v>96</v>
      </c>
      <c r="L739" t="s">
        <v>2744</v>
      </c>
      <c r="M739">
        <v>9</v>
      </c>
      <c r="N739" t="s">
        <v>42</v>
      </c>
      <c r="O739" t="s">
        <v>26</v>
      </c>
      <c r="P739">
        <v>2131.48</v>
      </c>
      <c r="Q739">
        <v>2131.48</v>
      </c>
      <c r="R739" t="str">
        <f>IF(OR(P739&lt;Outliers!$B$5, P739&gt;Outliers!$B$6), "outliers", "")</f>
        <v/>
      </c>
    </row>
    <row r="740" spans="1:18" x14ac:dyDescent="0.25">
      <c r="A740" t="s">
        <v>2745</v>
      </c>
      <c r="B740" s="1">
        <v>45812</v>
      </c>
      <c r="C740">
        <v>2025</v>
      </c>
      <c r="D740" t="s">
        <v>53</v>
      </c>
      <c r="E740" t="s">
        <v>2746</v>
      </c>
      <c r="F740" t="s">
        <v>30</v>
      </c>
      <c r="G740">
        <v>2</v>
      </c>
      <c r="H740">
        <v>485.37</v>
      </c>
      <c r="I740" t="s">
        <v>2747</v>
      </c>
      <c r="J740" t="s">
        <v>39</v>
      </c>
      <c r="K740" t="s">
        <v>23</v>
      </c>
      <c r="L740" t="s">
        <v>2748</v>
      </c>
      <c r="M740">
        <v>5</v>
      </c>
      <c r="N740" t="s">
        <v>25</v>
      </c>
      <c r="O740" t="s">
        <v>43</v>
      </c>
      <c r="P740">
        <v>970.74</v>
      </c>
      <c r="Q740">
        <v>970.74</v>
      </c>
      <c r="R740" t="str">
        <f>IF(OR(P740&lt;Outliers!$B$5, P740&gt;Outliers!$B$6), "outliers", "")</f>
        <v/>
      </c>
    </row>
    <row r="741" spans="1:18" x14ac:dyDescent="0.25">
      <c r="A741" t="s">
        <v>2749</v>
      </c>
      <c r="B741" s="1">
        <v>45456</v>
      </c>
      <c r="C741">
        <v>2024</v>
      </c>
      <c r="D741" t="s">
        <v>53</v>
      </c>
      <c r="E741" t="s">
        <v>2750</v>
      </c>
      <c r="F741" t="s">
        <v>30</v>
      </c>
      <c r="G741">
        <v>4</v>
      </c>
      <c r="H741">
        <v>386.73</v>
      </c>
      <c r="I741" t="s">
        <v>560</v>
      </c>
      <c r="J741" t="s">
        <v>72</v>
      </c>
      <c r="K741" t="s">
        <v>57</v>
      </c>
      <c r="L741" t="s">
        <v>2751</v>
      </c>
      <c r="M741">
        <v>4</v>
      </c>
      <c r="N741" t="s">
        <v>25</v>
      </c>
      <c r="O741" t="s">
        <v>51</v>
      </c>
      <c r="P741">
        <v>1546.92</v>
      </c>
      <c r="Q741">
        <v>1546.92</v>
      </c>
      <c r="R741" t="str">
        <f>IF(OR(P741&lt;Outliers!$B$5, P741&gt;Outliers!$B$6), "outliers", "")</f>
        <v/>
      </c>
    </row>
    <row r="742" spans="1:18" x14ac:dyDescent="0.25">
      <c r="A742" t="s">
        <v>2752</v>
      </c>
      <c r="B742" s="1">
        <v>45493</v>
      </c>
      <c r="C742">
        <v>2024</v>
      </c>
      <c r="D742" t="s">
        <v>28</v>
      </c>
      <c r="E742" t="s">
        <v>2753</v>
      </c>
      <c r="F742" t="s">
        <v>80</v>
      </c>
      <c r="G742">
        <v>2</v>
      </c>
      <c r="H742">
        <v>377.47</v>
      </c>
      <c r="I742" t="s">
        <v>1677</v>
      </c>
      <c r="J742" t="s">
        <v>72</v>
      </c>
      <c r="K742" t="s">
        <v>96</v>
      </c>
      <c r="L742" t="s">
        <v>2754</v>
      </c>
      <c r="M742">
        <v>7</v>
      </c>
      <c r="O742" t="s">
        <v>83</v>
      </c>
      <c r="P742">
        <v>754.94</v>
      </c>
      <c r="Q742">
        <v>754.94</v>
      </c>
      <c r="R742" t="str">
        <f>IF(OR(P742&lt;Outliers!$B$5, P742&gt;Outliers!$B$6), "outliers", "")</f>
        <v/>
      </c>
    </row>
    <row r="743" spans="1:18" x14ac:dyDescent="0.25">
      <c r="A743" t="s">
        <v>2755</v>
      </c>
      <c r="B743" s="1">
        <v>45680</v>
      </c>
      <c r="C743">
        <v>2025</v>
      </c>
      <c r="D743" t="s">
        <v>18</v>
      </c>
      <c r="E743" t="s">
        <v>2756</v>
      </c>
      <c r="F743" t="s">
        <v>20</v>
      </c>
      <c r="G743">
        <v>5</v>
      </c>
      <c r="H743">
        <v>332.64</v>
      </c>
      <c r="I743" t="s">
        <v>2757</v>
      </c>
      <c r="J743" t="s">
        <v>67</v>
      </c>
      <c r="K743" t="s">
        <v>57</v>
      </c>
      <c r="L743" t="s">
        <v>2758</v>
      </c>
      <c r="M743">
        <v>10</v>
      </c>
      <c r="O743" t="s">
        <v>34</v>
      </c>
      <c r="P743">
        <v>1663.2</v>
      </c>
      <c r="Q743">
        <v>1663.2</v>
      </c>
      <c r="R743" t="str">
        <f>IF(OR(P743&lt;Outliers!$B$5, P743&gt;Outliers!$B$6), "outliers", "")</f>
        <v/>
      </c>
    </row>
    <row r="744" spans="1:18" x14ac:dyDescent="0.25">
      <c r="A744" t="s">
        <v>2759</v>
      </c>
      <c r="B744" s="1">
        <v>45626</v>
      </c>
      <c r="C744">
        <v>2024</v>
      </c>
      <c r="D744" t="s">
        <v>45</v>
      </c>
      <c r="E744" t="s">
        <v>2760</v>
      </c>
      <c r="F744" t="s">
        <v>65</v>
      </c>
      <c r="G744">
        <v>3</v>
      </c>
      <c r="H744">
        <v>699.93</v>
      </c>
      <c r="I744" t="s">
        <v>1205</v>
      </c>
      <c r="J744" t="s">
        <v>72</v>
      </c>
      <c r="K744" t="s">
        <v>49</v>
      </c>
      <c r="L744" t="s">
        <v>2761</v>
      </c>
      <c r="M744">
        <v>7</v>
      </c>
      <c r="N744" t="s">
        <v>25</v>
      </c>
      <c r="O744" t="s">
        <v>83</v>
      </c>
      <c r="P744">
        <v>2099.79</v>
      </c>
      <c r="Q744">
        <v>2099.79</v>
      </c>
      <c r="R744" t="str">
        <f>IF(OR(P744&lt;Outliers!$B$5, P744&gt;Outliers!$B$6), "outliers", "")</f>
        <v/>
      </c>
    </row>
    <row r="745" spans="1:18" x14ac:dyDescent="0.25">
      <c r="A745" t="s">
        <v>2762</v>
      </c>
      <c r="B745" s="1">
        <v>45565</v>
      </c>
      <c r="C745">
        <v>2024</v>
      </c>
      <c r="D745" t="s">
        <v>28</v>
      </c>
      <c r="E745" t="s">
        <v>2763</v>
      </c>
      <c r="F745" t="s">
        <v>20</v>
      </c>
      <c r="G745">
        <v>1</v>
      </c>
      <c r="H745">
        <v>576.35</v>
      </c>
      <c r="I745" t="s">
        <v>200</v>
      </c>
      <c r="J745" t="s">
        <v>67</v>
      </c>
      <c r="K745" t="s">
        <v>49</v>
      </c>
      <c r="L745" t="s">
        <v>2764</v>
      </c>
      <c r="M745">
        <v>1</v>
      </c>
      <c r="N745" t="s">
        <v>88</v>
      </c>
      <c r="O745" t="s">
        <v>26</v>
      </c>
      <c r="P745">
        <v>576.35</v>
      </c>
      <c r="Q745">
        <v>576.35</v>
      </c>
      <c r="R745" t="str">
        <f>IF(OR(P745&lt;Outliers!$B$5, P745&gt;Outliers!$B$6), "outliers", "")</f>
        <v/>
      </c>
    </row>
    <row r="746" spans="1:18" x14ac:dyDescent="0.25">
      <c r="A746" t="s">
        <v>2765</v>
      </c>
      <c r="B746" s="1">
        <v>45455</v>
      </c>
      <c r="C746">
        <v>2024</v>
      </c>
      <c r="D746" t="s">
        <v>53</v>
      </c>
      <c r="E746" t="s">
        <v>2766</v>
      </c>
      <c r="F746" t="s">
        <v>37</v>
      </c>
      <c r="G746">
        <v>2</v>
      </c>
      <c r="H746">
        <v>461.37</v>
      </c>
      <c r="I746" t="s">
        <v>2767</v>
      </c>
      <c r="J746" t="s">
        <v>72</v>
      </c>
      <c r="K746" t="s">
        <v>57</v>
      </c>
      <c r="L746" t="s">
        <v>2768</v>
      </c>
      <c r="M746">
        <v>5</v>
      </c>
      <c r="N746" t="s">
        <v>25</v>
      </c>
      <c r="O746" t="s">
        <v>83</v>
      </c>
      <c r="P746">
        <v>922.74</v>
      </c>
      <c r="Q746">
        <v>922.74</v>
      </c>
      <c r="R746" t="str">
        <f>IF(OR(P746&lt;Outliers!$B$5, P746&gt;Outliers!$B$6), "outliers", "")</f>
        <v/>
      </c>
    </row>
    <row r="747" spans="1:18" x14ac:dyDescent="0.25">
      <c r="A747" t="s">
        <v>2769</v>
      </c>
      <c r="B747" s="1">
        <v>44987</v>
      </c>
      <c r="C747">
        <v>2023</v>
      </c>
      <c r="D747" t="s">
        <v>18</v>
      </c>
      <c r="E747" t="s">
        <v>2770</v>
      </c>
      <c r="F747" t="s">
        <v>55</v>
      </c>
      <c r="G747">
        <v>4</v>
      </c>
      <c r="H747">
        <v>111.3</v>
      </c>
      <c r="I747" t="s">
        <v>2771</v>
      </c>
      <c r="J747" t="s">
        <v>22</v>
      </c>
      <c r="K747" t="s">
        <v>96</v>
      </c>
      <c r="L747" t="s">
        <v>2772</v>
      </c>
      <c r="M747">
        <v>7</v>
      </c>
      <c r="N747" t="s">
        <v>42</v>
      </c>
      <c r="O747" t="s">
        <v>43</v>
      </c>
      <c r="P747">
        <v>445.2</v>
      </c>
      <c r="Q747">
        <v>445.2</v>
      </c>
      <c r="R747" t="str">
        <f>IF(OR(P747&lt;Outliers!$B$5, P747&gt;Outliers!$B$6), "outliers", "")</f>
        <v/>
      </c>
    </row>
    <row r="748" spans="1:18" x14ac:dyDescent="0.25">
      <c r="A748" t="s">
        <v>2773</v>
      </c>
      <c r="B748" s="1">
        <v>45712</v>
      </c>
      <c r="C748">
        <v>2025</v>
      </c>
      <c r="D748" t="s">
        <v>18</v>
      </c>
      <c r="E748" t="s">
        <v>2774</v>
      </c>
      <c r="F748" t="s">
        <v>80</v>
      </c>
      <c r="G748">
        <v>3</v>
      </c>
      <c r="H748">
        <v>661.89</v>
      </c>
      <c r="I748" t="s">
        <v>2775</v>
      </c>
      <c r="J748" t="s">
        <v>32</v>
      </c>
      <c r="K748" t="s">
        <v>40</v>
      </c>
      <c r="L748" t="s">
        <v>2776</v>
      </c>
      <c r="M748">
        <v>6</v>
      </c>
      <c r="N748" t="s">
        <v>88</v>
      </c>
      <c r="O748" t="s">
        <v>34</v>
      </c>
      <c r="P748">
        <v>1985.67</v>
      </c>
      <c r="Q748">
        <v>1985.67</v>
      </c>
      <c r="R748" t="str">
        <f>IF(OR(P748&lt;Outliers!$B$5, P748&gt;Outliers!$B$6), "outliers", "")</f>
        <v/>
      </c>
    </row>
    <row r="749" spans="1:18" x14ac:dyDescent="0.25">
      <c r="A749" t="s">
        <v>2777</v>
      </c>
      <c r="B749" s="1">
        <v>45728</v>
      </c>
      <c r="C749">
        <v>2025</v>
      </c>
      <c r="D749" t="s">
        <v>18</v>
      </c>
      <c r="E749" t="s">
        <v>2778</v>
      </c>
      <c r="F749" t="s">
        <v>37</v>
      </c>
      <c r="G749">
        <v>2</v>
      </c>
      <c r="H749">
        <v>259.58</v>
      </c>
      <c r="I749" t="s">
        <v>2779</v>
      </c>
      <c r="J749" t="s">
        <v>22</v>
      </c>
      <c r="K749" t="s">
        <v>57</v>
      </c>
      <c r="L749" t="s">
        <v>2780</v>
      </c>
      <c r="M749">
        <v>7</v>
      </c>
      <c r="N749" t="s">
        <v>42</v>
      </c>
      <c r="O749" t="s">
        <v>26</v>
      </c>
      <c r="P749">
        <v>519.16</v>
      </c>
      <c r="Q749">
        <v>519.16</v>
      </c>
      <c r="R749" t="str">
        <f>IF(OR(P749&lt;Outliers!$B$5, P749&gt;Outliers!$B$6), "outliers", "")</f>
        <v/>
      </c>
    </row>
    <row r="750" spans="1:18" x14ac:dyDescent="0.25">
      <c r="A750" t="s">
        <v>2781</v>
      </c>
      <c r="B750" s="1">
        <v>45488</v>
      </c>
      <c r="C750">
        <v>2024</v>
      </c>
      <c r="D750" t="s">
        <v>28</v>
      </c>
      <c r="E750" t="s">
        <v>2782</v>
      </c>
      <c r="F750" t="s">
        <v>37</v>
      </c>
      <c r="G750">
        <v>3</v>
      </c>
      <c r="H750">
        <v>70.81</v>
      </c>
      <c r="I750" t="s">
        <v>1915</v>
      </c>
      <c r="J750" t="s">
        <v>39</v>
      </c>
      <c r="K750" t="s">
        <v>23</v>
      </c>
      <c r="L750" t="s">
        <v>2783</v>
      </c>
      <c r="M750">
        <v>8</v>
      </c>
      <c r="N750" t="s">
        <v>42</v>
      </c>
      <c r="O750" t="s">
        <v>34</v>
      </c>
      <c r="P750">
        <v>212.43</v>
      </c>
      <c r="Q750">
        <v>212.43</v>
      </c>
      <c r="R750" t="str">
        <f>IF(OR(P750&lt;Outliers!$B$5, P750&gt;Outliers!$B$6), "outliers", "")</f>
        <v/>
      </c>
    </row>
    <row r="751" spans="1:18" x14ac:dyDescent="0.25">
      <c r="A751" t="s">
        <v>2784</v>
      </c>
      <c r="B751" s="1">
        <v>45760</v>
      </c>
      <c r="C751">
        <v>2025</v>
      </c>
      <c r="D751" t="s">
        <v>53</v>
      </c>
      <c r="E751" t="s">
        <v>2785</v>
      </c>
      <c r="F751" t="s">
        <v>65</v>
      </c>
      <c r="G751">
        <v>1</v>
      </c>
      <c r="H751">
        <v>518.39</v>
      </c>
      <c r="I751" t="s">
        <v>2786</v>
      </c>
      <c r="J751" t="s">
        <v>22</v>
      </c>
      <c r="K751" t="s">
        <v>96</v>
      </c>
      <c r="L751" t="s">
        <v>2787</v>
      </c>
      <c r="M751">
        <v>4</v>
      </c>
      <c r="N751" t="s">
        <v>42</v>
      </c>
      <c r="O751" t="s">
        <v>26</v>
      </c>
      <c r="P751">
        <v>518.39</v>
      </c>
      <c r="Q751">
        <v>518.39</v>
      </c>
      <c r="R751" t="str">
        <f>IF(OR(P751&lt;Outliers!$B$5, P751&gt;Outliers!$B$6), "outliers", "")</f>
        <v/>
      </c>
    </row>
    <row r="752" spans="1:18" x14ac:dyDescent="0.25">
      <c r="A752" t="s">
        <v>2788</v>
      </c>
      <c r="B752" s="1">
        <v>44940</v>
      </c>
      <c r="C752">
        <v>2023</v>
      </c>
      <c r="D752" t="s">
        <v>18</v>
      </c>
      <c r="E752" t="s">
        <v>2789</v>
      </c>
      <c r="F752" t="s">
        <v>37</v>
      </c>
      <c r="G752">
        <v>4</v>
      </c>
      <c r="H752">
        <v>145.41</v>
      </c>
      <c r="I752" t="s">
        <v>2790</v>
      </c>
      <c r="J752" t="s">
        <v>39</v>
      </c>
      <c r="K752" t="s">
        <v>49</v>
      </c>
      <c r="L752" t="s">
        <v>2791</v>
      </c>
      <c r="M752">
        <v>7</v>
      </c>
      <c r="N752" t="s">
        <v>42</v>
      </c>
      <c r="O752" t="s">
        <v>43</v>
      </c>
      <c r="P752">
        <v>581.64</v>
      </c>
      <c r="Q752">
        <v>581.64</v>
      </c>
      <c r="R752" t="str">
        <f>IF(OR(P752&lt;Outliers!$B$5, P752&gt;Outliers!$B$6), "outliers", "")</f>
        <v/>
      </c>
    </row>
    <row r="753" spans="1:18" x14ac:dyDescent="0.25">
      <c r="A753" t="s">
        <v>2792</v>
      </c>
      <c r="B753" s="1">
        <v>44950</v>
      </c>
      <c r="C753">
        <v>2023</v>
      </c>
      <c r="D753" t="s">
        <v>18</v>
      </c>
      <c r="E753" t="s">
        <v>2793</v>
      </c>
      <c r="F753" t="s">
        <v>37</v>
      </c>
      <c r="G753">
        <v>2</v>
      </c>
      <c r="H753">
        <v>599.86</v>
      </c>
      <c r="I753" t="s">
        <v>2794</v>
      </c>
      <c r="J753" t="s">
        <v>67</v>
      </c>
      <c r="K753" t="s">
        <v>96</v>
      </c>
      <c r="L753" t="s">
        <v>2795</v>
      </c>
      <c r="M753">
        <v>7</v>
      </c>
      <c r="N753" t="s">
        <v>42</v>
      </c>
      <c r="O753" t="s">
        <v>51</v>
      </c>
      <c r="P753">
        <v>1199.72</v>
      </c>
      <c r="Q753">
        <v>1199.72</v>
      </c>
      <c r="R753" t="str">
        <f>IF(OR(P753&lt;Outliers!$B$5, P753&gt;Outliers!$B$6), "outliers", "")</f>
        <v/>
      </c>
    </row>
    <row r="754" spans="1:18" x14ac:dyDescent="0.25">
      <c r="A754" t="s">
        <v>2796</v>
      </c>
      <c r="B754" s="1">
        <v>45568</v>
      </c>
      <c r="C754">
        <v>2024</v>
      </c>
      <c r="D754" t="s">
        <v>45</v>
      </c>
      <c r="E754" t="s">
        <v>2797</v>
      </c>
      <c r="F754" t="s">
        <v>30</v>
      </c>
      <c r="G754">
        <v>4</v>
      </c>
      <c r="H754">
        <v>429.37</v>
      </c>
      <c r="I754" t="s">
        <v>1120</v>
      </c>
      <c r="J754" t="s">
        <v>39</v>
      </c>
      <c r="K754" t="s">
        <v>57</v>
      </c>
      <c r="L754" t="s">
        <v>2798</v>
      </c>
      <c r="M754">
        <v>8</v>
      </c>
      <c r="N754" t="s">
        <v>42</v>
      </c>
      <c r="O754" t="s">
        <v>83</v>
      </c>
      <c r="P754">
        <v>1717.48</v>
      </c>
      <c r="Q754">
        <v>1717.48</v>
      </c>
      <c r="R754" t="str">
        <f>IF(OR(P754&lt;Outliers!$B$5, P754&gt;Outliers!$B$6), "outliers", "")</f>
        <v/>
      </c>
    </row>
    <row r="755" spans="1:18" x14ac:dyDescent="0.25">
      <c r="A755" t="s">
        <v>2799</v>
      </c>
      <c r="B755" s="1">
        <v>45406</v>
      </c>
      <c r="C755">
        <v>2024</v>
      </c>
      <c r="D755" t="s">
        <v>53</v>
      </c>
      <c r="E755" t="s">
        <v>2800</v>
      </c>
      <c r="F755" t="s">
        <v>30</v>
      </c>
      <c r="G755">
        <v>2</v>
      </c>
      <c r="H755">
        <v>241.49</v>
      </c>
      <c r="I755" t="s">
        <v>2801</v>
      </c>
      <c r="J755" t="s">
        <v>22</v>
      </c>
      <c r="K755" t="s">
        <v>49</v>
      </c>
      <c r="L755" t="s">
        <v>2802</v>
      </c>
      <c r="M755">
        <v>7</v>
      </c>
      <c r="N755" t="s">
        <v>42</v>
      </c>
      <c r="O755" t="s">
        <v>26</v>
      </c>
      <c r="P755">
        <v>482.98</v>
      </c>
      <c r="Q755">
        <v>482.98</v>
      </c>
      <c r="R755" t="str">
        <f>IF(OR(P755&lt;Outliers!$B$5, P755&gt;Outliers!$B$6), "outliers", "")</f>
        <v/>
      </c>
    </row>
    <row r="756" spans="1:18" x14ac:dyDescent="0.25">
      <c r="A756" t="s">
        <v>2803</v>
      </c>
      <c r="B756" s="1">
        <v>45808</v>
      </c>
      <c r="C756">
        <v>2025</v>
      </c>
      <c r="D756" t="s">
        <v>53</v>
      </c>
      <c r="E756" t="s">
        <v>2804</v>
      </c>
      <c r="F756" t="s">
        <v>55</v>
      </c>
      <c r="G756">
        <v>2</v>
      </c>
      <c r="H756">
        <v>452.05</v>
      </c>
      <c r="I756" t="s">
        <v>2805</v>
      </c>
      <c r="J756" t="s">
        <v>39</v>
      </c>
      <c r="K756" t="s">
        <v>49</v>
      </c>
      <c r="L756" t="s">
        <v>2806</v>
      </c>
      <c r="M756">
        <v>3</v>
      </c>
      <c r="N756" t="s">
        <v>88</v>
      </c>
      <c r="O756" t="s">
        <v>43</v>
      </c>
      <c r="P756">
        <v>904.1</v>
      </c>
      <c r="Q756">
        <v>904.1</v>
      </c>
      <c r="R756" t="str">
        <f>IF(OR(P756&lt;Outliers!$B$5, P756&gt;Outliers!$B$6), "outliers", "")</f>
        <v/>
      </c>
    </row>
    <row r="757" spans="1:18" x14ac:dyDescent="0.25">
      <c r="A757" t="s">
        <v>2807</v>
      </c>
      <c r="B757" s="1">
        <v>45090</v>
      </c>
      <c r="C757">
        <v>2023</v>
      </c>
      <c r="D757" t="s">
        <v>53</v>
      </c>
      <c r="E757" t="s">
        <v>2808</v>
      </c>
      <c r="F757" t="s">
        <v>80</v>
      </c>
      <c r="G757">
        <v>3</v>
      </c>
      <c r="H757">
        <v>336.71</v>
      </c>
      <c r="I757" t="s">
        <v>2809</v>
      </c>
      <c r="J757" t="s">
        <v>39</v>
      </c>
      <c r="K757" t="s">
        <v>96</v>
      </c>
      <c r="L757" t="s">
        <v>2810</v>
      </c>
      <c r="M757">
        <v>4</v>
      </c>
      <c r="O757" t="s">
        <v>43</v>
      </c>
      <c r="P757">
        <v>1010.13</v>
      </c>
      <c r="Q757">
        <v>1010.13</v>
      </c>
      <c r="R757" t="str">
        <f>IF(OR(P757&lt;Outliers!$B$5, P757&gt;Outliers!$B$6), "outliers", "")</f>
        <v/>
      </c>
    </row>
    <row r="758" spans="1:18" x14ac:dyDescent="0.25">
      <c r="A758" t="s">
        <v>2811</v>
      </c>
      <c r="B758" s="1">
        <v>45470</v>
      </c>
      <c r="C758">
        <v>2024</v>
      </c>
      <c r="D758" t="s">
        <v>53</v>
      </c>
      <c r="E758" t="s">
        <v>2812</v>
      </c>
      <c r="F758" t="s">
        <v>30</v>
      </c>
      <c r="G758">
        <v>1</v>
      </c>
      <c r="H758">
        <v>283.69</v>
      </c>
      <c r="I758" t="s">
        <v>276</v>
      </c>
      <c r="J758" t="s">
        <v>67</v>
      </c>
      <c r="K758" t="s">
        <v>23</v>
      </c>
      <c r="L758" t="s">
        <v>2813</v>
      </c>
      <c r="M758">
        <v>6</v>
      </c>
      <c r="O758" t="s">
        <v>83</v>
      </c>
      <c r="P758">
        <v>283.69</v>
      </c>
      <c r="Q758">
        <v>283.69</v>
      </c>
      <c r="R758" t="str">
        <f>IF(OR(P758&lt;Outliers!$B$5, P758&gt;Outliers!$B$6), "outliers", "")</f>
        <v/>
      </c>
    </row>
    <row r="759" spans="1:18" x14ac:dyDescent="0.25">
      <c r="A759" t="s">
        <v>2814</v>
      </c>
      <c r="B759" s="1">
        <v>45344</v>
      </c>
      <c r="C759">
        <v>2024</v>
      </c>
      <c r="D759" t="s">
        <v>18</v>
      </c>
      <c r="E759" t="s">
        <v>2815</v>
      </c>
      <c r="F759" t="s">
        <v>80</v>
      </c>
      <c r="G759">
        <v>1</v>
      </c>
      <c r="H759">
        <v>157.72</v>
      </c>
      <c r="I759" t="s">
        <v>786</v>
      </c>
      <c r="J759" t="s">
        <v>22</v>
      </c>
      <c r="K759" t="s">
        <v>57</v>
      </c>
      <c r="L759" t="s">
        <v>2816</v>
      </c>
      <c r="M759">
        <v>2</v>
      </c>
      <c r="N759" t="s">
        <v>42</v>
      </c>
      <c r="O759" t="s">
        <v>83</v>
      </c>
      <c r="P759">
        <v>157.72</v>
      </c>
      <c r="Q759">
        <v>157.72</v>
      </c>
      <c r="R759" t="str">
        <f>IF(OR(P759&lt;Outliers!$B$5, P759&gt;Outliers!$B$6), "outliers", "")</f>
        <v/>
      </c>
    </row>
    <row r="760" spans="1:18" x14ac:dyDescent="0.25">
      <c r="A760" t="s">
        <v>2817</v>
      </c>
      <c r="B760" s="1">
        <v>45011</v>
      </c>
      <c r="C760">
        <v>2023</v>
      </c>
      <c r="D760" t="s">
        <v>18</v>
      </c>
      <c r="E760" t="s">
        <v>2818</v>
      </c>
      <c r="F760" t="s">
        <v>37</v>
      </c>
      <c r="G760">
        <v>3</v>
      </c>
      <c r="H760">
        <v>624.84</v>
      </c>
      <c r="I760" t="s">
        <v>342</v>
      </c>
      <c r="J760" t="s">
        <v>39</v>
      </c>
      <c r="K760" t="s">
        <v>40</v>
      </c>
      <c r="L760" t="s">
        <v>2819</v>
      </c>
      <c r="M760">
        <v>8</v>
      </c>
      <c r="N760" t="s">
        <v>88</v>
      </c>
      <c r="O760" t="s">
        <v>51</v>
      </c>
      <c r="P760">
        <v>1874.52</v>
      </c>
      <c r="Q760">
        <v>1874.52</v>
      </c>
      <c r="R760" t="str">
        <f>IF(OR(P760&lt;Outliers!$B$5, P760&gt;Outliers!$B$6), "outliers", "")</f>
        <v/>
      </c>
    </row>
    <row r="761" spans="1:18" x14ac:dyDescent="0.25">
      <c r="A761" t="s">
        <v>2820</v>
      </c>
      <c r="B761" s="1">
        <v>45131</v>
      </c>
      <c r="C761">
        <v>2023</v>
      </c>
      <c r="D761" t="s">
        <v>28</v>
      </c>
      <c r="E761" t="s">
        <v>2821</v>
      </c>
      <c r="F761" t="s">
        <v>80</v>
      </c>
      <c r="G761">
        <v>3</v>
      </c>
      <c r="H761">
        <v>308.01</v>
      </c>
      <c r="I761" t="s">
        <v>2822</v>
      </c>
      <c r="J761" t="s">
        <v>72</v>
      </c>
      <c r="K761" t="s">
        <v>96</v>
      </c>
      <c r="L761" t="s">
        <v>2823</v>
      </c>
      <c r="M761">
        <v>3</v>
      </c>
      <c r="N761" t="s">
        <v>42</v>
      </c>
      <c r="O761" t="s">
        <v>51</v>
      </c>
      <c r="P761">
        <v>924.03</v>
      </c>
      <c r="Q761">
        <v>924.03</v>
      </c>
      <c r="R761" t="str">
        <f>IF(OR(P761&lt;Outliers!$B$5, P761&gt;Outliers!$B$6), "outliers", "")</f>
        <v/>
      </c>
    </row>
    <row r="762" spans="1:18" x14ac:dyDescent="0.25">
      <c r="A762" t="s">
        <v>2824</v>
      </c>
      <c r="B762" s="1">
        <v>45706</v>
      </c>
      <c r="C762">
        <v>2025</v>
      </c>
      <c r="D762" t="s">
        <v>18</v>
      </c>
      <c r="E762" t="s">
        <v>2825</v>
      </c>
      <c r="F762" t="s">
        <v>80</v>
      </c>
      <c r="G762">
        <v>1</v>
      </c>
      <c r="H762">
        <v>39.56</v>
      </c>
      <c r="I762" t="s">
        <v>742</v>
      </c>
      <c r="J762" t="s">
        <v>22</v>
      </c>
      <c r="K762" t="s">
        <v>40</v>
      </c>
      <c r="L762" t="s">
        <v>2826</v>
      </c>
      <c r="M762">
        <v>5</v>
      </c>
      <c r="O762" t="s">
        <v>83</v>
      </c>
      <c r="P762">
        <v>39.56</v>
      </c>
      <c r="Q762">
        <v>39.56</v>
      </c>
      <c r="R762" t="str">
        <f>IF(OR(P762&lt;Outliers!$B$5, P762&gt;Outliers!$B$6), "outliers", "")</f>
        <v/>
      </c>
    </row>
    <row r="763" spans="1:18" x14ac:dyDescent="0.25">
      <c r="A763" t="s">
        <v>2827</v>
      </c>
      <c r="B763" s="1">
        <v>45079</v>
      </c>
      <c r="C763">
        <v>2023</v>
      </c>
      <c r="D763" t="s">
        <v>53</v>
      </c>
      <c r="E763" t="s">
        <v>2828</v>
      </c>
      <c r="F763" t="s">
        <v>80</v>
      </c>
      <c r="G763">
        <v>4</v>
      </c>
      <c r="H763">
        <v>37.76</v>
      </c>
      <c r="I763" t="s">
        <v>2829</v>
      </c>
      <c r="J763" t="s">
        <v>22</v>
      </c>
      <c r="K763" t="s">
        <v>57</v>
      </c>
      <c r="L763" t="s">
        <v>2830</v>
      </c>
      <c r="M763">
        <v>7</v>
      </c>
      <c r="O763" t="s">
        <v>83</v>
      </c>
      <c r="P763">
        <v>151.04</v>
      </c>
      <c r="Q763">
        <v>151.04</v>
      </c>
      <c r="R763" t="str">
        <f>IF(OR(P763&lt;Outliers!$B$5, P763&gt;Outliers!$B$6), "outliers", "")</f>
        <v/>
      </c>
    </row>
    <row r="764" spans="1:18" x14ac:dyDescent="0.25">
      <c r="A764" t="s">
        <v>2831</v>
      </c>
      <c r="B764" s="1">
        <v>45552</v>
      </c>
      <c r="C764">
        <v>2024</v>
      </c>
      <c r="D764" t="s">
        <v>28</v>
      </c>
      <c r="E764" t="s">
        <v>2832</v>
      </c>
      <c r="F764" t="s">
        <v>30</v>
      </c>
      <c r="G764">
        <v>3</v>
      </c>
      <c r="H764">
        <v>76.959999999999994</v>
      </c>
      <c r="I764" t="s">
        <v>402</v>
      </c>
      <c r="J764" t="s">
        <v>72</v>
      </c>
      <c r="K764" t="s">
        <v>49</v>
      </c>
      <c r="L764" t="s">
        <v>2833</v>
      </c>
      <c r="M764">
        <v>8</v>
      </c>
      <c r="N764" t="s">
        <v>42</v>
      </c>
      <c r="O764" t="s">
        <v>43</v>
      </c>
      <c r="P764">
        <v>230.88</v>
      </c>
      <c r="Q764">
        <v>230.88</v>
      </c>
      <c r="R764" t="str">
        <f>IF(OR(P764&lt;Outliers!$B$5, P764&gt;Outliers!$B$6), "outliers", "")</f>
        <v/>
      </c>
    </row>
    <row r="765" spans="1:18" x14ac:dyDescent="0.25">
      <c r="A765" t="s">
        <v>2834</v>
      </c>
      <c r="B765" s="1">
        <v>45022</v>
      </c>
      <c r="C765">
        <v>2023</v>
      </c>
      <c r="D765" t="s">
        <v>53</v>
      </c>
      <c r="E765" t="s">
        <v>2835</v>
      </c>
      <c r="F765" t="s">
        <v>65</v>
      </c>
      <c r="G765">
        <v>1</v>
      </c>
      <c r="H765">
        <v>569.96</v>
      </c>
      <c r="I765" t="s">
        <v>433</v>
      </c>
      <c r="J765" t="s">
        <v>32</v>
      </c>
      <c r="K765" t="s">
        <v>57</v>
      </c>
      <c r="L765" t="s">
        <v>2836</v>
      </c>
      <c r="M765">
        <v>4</v>
      </c>
      <c r="N765" t="s">
        <v>42</v>
      </c>
      <c r="O765" t="s">
        <v>43</v>
      </c>
      <c r="P765">
        <v>569.96</v>
      </c>
      <c r="Q765">
        <v>569.96</v>
      </c>
      <c r="R765" t="str">
        <f>IF(OR(P765&lt;Outliers!$B$5, P765&gt;Outliers!$B$6), "outliers", "")</f>
        <v/>
      </c>
    </row>
    <row r="766" spans="1:18" x14ac:dyDescent="0.25">
      <c r="A766" t="s">
        <v>2837</v>
      </c>
      <c r="B766" s="1">
        <v>45361</v>
      </c>
      <c r="C766">
        <v>2024</v>
      </c>
      <c r="D766" t="s">
        <v>18</v>
      </c>
      <c r="E766" t="s">
        <v>2838</v>
      </c>
      <c r="F766" t="s">
        <v>65</v>
      </c>
      <c r="G766">
        <v>5</v>
      </c>
      <c r="H766">
        <v>627.42999999999995</v>
      </c>
      <c r="I766" t="s">
        <v>722</v>
      </c>
      <c r="J766" t="s">
        <v>39</v>
      </c>
      <c r="K766" t="s">
        <v>40</v>
      </c>
      <c r="L766" t="s">
        <v>2839</v>
      </c>
      <c r="M766">
        <v>10</v>
      </c>
      <c r="N766" t="s">
        <v>42</v>
      </c>
      <c r="O766" t="s">
        <v>43</v>
      </c>
      <c r="P766">
        <v>3137.15</v>
      </c>
      <c r="Q766">
        <v>3137.15</v>
      </c>
      <c r="R766" t="str">
        <f>IF(OR(P766&lt;Outliers!$B$5, P766&gt;Outliers!$B$6), "outliers", "")</f>
        <v/>
      </c>
    </row>
    <row r="767" spans="1:18" x14ac:dyDescent="0.25">
      <c r="A767" t="s">
        <v>2840</v>
      </c>
      <c r="B767" s="1">
        <v>45205</v>
      </c>
      <c r="C767">
        <v>2023</v>
      </c>
      <c r="D767" t="s">
        <v>45</v>
      </c>
      <c r="E767" t="s">
        <v>2841</v>
      </c>
      <c r="F767" t="s">
        <v>65</v>
      </c>
      <c r="G767">
        <v>2</v>
      </c>
      <c r="H767">
        <v>534.91</v>
      </c>
      <c r="I767" t="s">
        <v>2668</v>
      </c>
      <c r="J767" t="s">
        <v>22</v>
      </c>
      <c r="K767" t="s">
        <v>49</v>
      </c>
      <c r="L767" t="s">
        <v>2842</v>
      </c>
      <c r="M767">
        <v>5</v>
      </c>
      <c r="N767" t="s">
        <v>25</v>
      </c>
      <c r="O767" t="s">
        <v>83</v>
      </c>
      <c r="P767">
        <v>1069.82</v>
      </c>
      <c r="Q767">
        <v>1069.82</v>
      </c>
      <c r="R767" t="str">
        <f>IF(OR(P767&lt;Outliers!$B$5, P767&gt;Outliers!$B$6), "outliers", "")</f>
        <v/>
      </c>
    </row>
    <row r="768" spans="1:18" x14ac:dyDescent="0.25">
      <c r="A768" t="s">
        <v>2843</v>
      </c>
      <c r="B768" s="1">
        <v>44948</v>
      </c>
      <c r="C768">
        <v>2023</v>
      </c>
      <c r="D768" t="s">
        <v>18</v>
      </c>
      <c r="E768" t="s">
        <v>2844</v>
      </c>
      <c r="F768" t="s">
        <v>55</v>
      </c>
      <c r="G768">
        <v>2</v>
      </c>
      <c r="H768">
        <v>278.88</v>
      </c>
      <c r="I768" t="s">
        <v>1395</v>
      </c>
      <c r="J768" t="s">
        <v>22</v>
      </c>
      <c r="K768" t="s">
        <v>96</v>
      </c>
      <c r="L768" t="s">
        <v>2845</v>
      </c>
      <c r="M768">
        <v>3</v>
      </c>
      <c r="N768" t="s">
        <v>42</v>
      </c>
      <c r="O768" t="s">
        <v>34</v>
      </c>
      <c r="P768">
        <v>557.76</v>
      </c>
      <c r="Q768">
        <v>557.76</v>
      </c>
      <c r="R768" t="str">
        <f>IF(OR(P768&lt;Outliers!$B$5, P768&gt;Outliers!$B$6), "outliers", "")</f>
        <v/>
      </c>
    </row>
    <row r="769" spans="1:18" x14ac:dyDescent="0.25">
      <c r="A769" t="s">
        <v>2846</v>
      </c>
      <c r="B769" s="1">
        <v>45765</v>
      </c>
      <c r="C769">
        <v>2025</v>
      </c>
      <c r="D769" t="s">
        <v>53</v>
      </c>
      <c r="E769" t="s">
        <v>2847</v>
      </c>
      <c r="F769" t="s">
        <v>37</v>
      </c>
      <c r="G769">
        <v>2</v>
      </c>
      <c r="H769">
        <v>323.22000000000003</v>
      </c>
      <c r="I769" t="s">
        <v>2848</v>
      </c>
      <c r="J769" t="s">
        <v>39</v>
      </c>
      <c r="K769" t="s">
        <v>57</v>
      </c>
      <c r="L769" t="s">
        <v>2849</v>
      </c>
      <c r="M769">
        <v>7</v>
      </c>
      <c r="O769" t="s">
        <v>26</v>
      </c>
      <c r="P769">
        <v>646.44000000000005</v>
      </c>
      <c r="Q769">
        <v>646.44000000000005</v>
      </c>
      <c r="R769" t="str">
        <f>IF(OR(P769&lt;Outliers!$B$5, P769&gt;Outliers!$B$6), "outliers", "")</f>
        <v/>
      </c>
    </row>
    <row r="770" spans="1:18" x14ac:dyDescent="0.25">
      <c r="A770" t="s">
        <v>2850</v>
      </c>
      <c r="B770" s="1">
        <v>45173</v>
      </c>
      <c r="C770">
        <v>2023</v>
      </c>
      <c r="D770" t="s">
        <v>28</v>
      </c>
      <c r="E770" t="s">
        <v>2851</v>
      </c>
      <c r="F770" t="s">
        <v>37</v>
      </c>
      <c r="G770">
        <v>5</v>
      </c>
      <c r="H770">
        <v>653.46</v>
      </c>
      <c r="I770" t="s">
        <v>2852</v>
      </c>
      <c r="J770" t="s">
        <v>72</v>
      </c>
      <c r="K770" t="s">
        <v>40</v>
      </c>
      <c r="L770" t="s">
        <v>2853</v>
      </c>
      <c r="M770">
        <v>9</v>
      </c>
      <c r="N770" t="s">
        <v>88</v>
      </c>
      <c r="O770" t="s">
        <v>43</v>
      </c>
      <c r="P770">
        <v>3267.3</v>
      </c>
      <c r="Q770">
        <v>3267.3</v>
      </c>
      <c r="R770" t="str">
        <f>IF(OR(P770&lt;Outliers!$B$5, P770&gt;Outliers!$B$6), "outliers", "")</f>
        <v/>
      </c>
    </row>
    <row r="771" spans="1:18" x14ac:dyDescent="0.25">
      <c r="A771" t="s">
        <v>2854</v>
      </c>
      <c r="B771" s="1">
        <v>45113</v>
      </c>
      <c r="C771">
        <v>2023</v>
      </c>
      <c r="D771" t="s">
        <v>28</v>
      </c>
      <c r="E771" t="s">
        <v>2855</v>
      </c>
      <c r="F771" t="s">
        <v>55</v>
      </c>
      <c r="G771">
        <v>4</v>
      </c>
      <c r="H771">
        <v>678.55</v>
      </c>
      <c r="I771" t="s">
        <v>160</v>
      </c>
      <c r="J771" t="s">
        <v>72</v>
      </c>
      <c r="K771" t="s">
        <v>57</v>
      </c>
      <c r="L771" t="s">
        <v>2856</v>
      </c>
      <c r="M771">
        <v>5</v>
      </c>
      <c r="O771" t="s">
        <v>43</v>
      </c>
      <c r="P771">
        <v>2714.2</v>
      </c>
      <c r="Q771">
        <v>2714.2</v>
      </c>
      <c r="R771" t="str">
        <f>IF(OR(P771&lt;Outliers!$B$5, P771&gt;Outliers!$B$6), "outliers", "")</f>
        <v/>
      </c>
    </row>
    <row r="772" spans="1:18" x14ac:dyDescent="0.25">
      <c r="A772" t="s">
        <v>2857</v>
      </c>
      <c r="B772" s="1">
        <v>45333</v>
      </c>
      <c r="C772">
        <v>2024</v>
      </c>
      <c r="D772" t="s">
        <v>18</v>
      </c>
      <c r="E772" t="s">
        <v>2858</v>
      </c>
      <c r="F772" t="s">
        <v>80</v>
      </c>
      <c r="G772">
        <v>1</v>
      </c>
      <c r="H772">
        <v>314.38</v>
      </c>
      <c r="I772" t="s">
        <v>1730</v>
      </c>
      <c r="J772" t="s">
        <v>32</v>
      </c>
      <c r="K772" t="s">
        <v>49</v>
      </c>
      <c r="L772" t="s">
        <v>2859</v>
      </c>
      <c r="M772">
        <v>6</v>
      </c>
      <c r="O772" t="s">
        <v>83</v>
      </c>
      <c r="P772">
        <v>314.38</v>
      </c>
      <c r="Q772">
        <v>314.38</v>
      </c>
      <c r="R772" t="str">
        <f>IF(OR(P772&lt;Outliers!$B$5, P772&gt;Outliers!$B$6), "outliers", "")</f>
        <v/>
      </c>
    </row>
    <row r="773" spans="1:18" x14ac:dyDescent="0.25">
      <c r="A773" t="s">
        <v>2860</v>
      </c>
      <c r="B773" s="1">
        <v>45455</v>
      </c>
      <c r="C773">
        <v>2024</v>
      </c>
      <c r="D773" t="s">
        <v>53</v>
      </c>
      <c r="E773" t="s">
        <v>2861</v>
      </c>
      <c r="F773" t="s">
        <v>30</v>
      </c>
      <c r="G773">
        <v>3</v>
      </c>
      <c r="H773">
        <v>692.44</v>
      </c>
      <c r="I773" t="s">
        <v>1508</v>
      </c>
      <c r="J773" t="s">
        <v>22</v>
      </c>
      <c r="K773" t="s">
        <v>40</v>
      </c>
      <c r="L773" t="s">
        <v>2862</v>
      </c>
      <c r="M773">
        <v>8</v>
      </c>
      <c r="N773" t="s">
        <v>42</v>
      </c>
      <c r="O773" t="s">
        <v>83</v>
      </c>
      <c r="P773">
        <v>2077.3200000000002</v>
      </c>
      <c r="Q773">
        <v>2077.3200000000002</v>
      </c>
      <c r="R773" t="str">
        <f>IF(OR(P773&lt;Outliers!$B$5, P773&gt;Outliers!$B$6), "outliers", "")</f>
        <v/>
      </c>
    </row>
    <row r="774" spans="1:18" x14ac:dyDescent="0.25">
      <c r="A774" t="s">
        <v>2863</v>
      </c>
      <c r="B774" s="1">
        <v>45501</v>
      </c>
      <c r="C774">
        <v>2024</v>
      </c>
      <c r="D774" t="s">
        <v>28</v>
      </c>
      <c r="E774" t="s">
        <v>2864</v>
      </c>
      <c r="F774" t="s">
        <v>20</v>
      </c>
      <c r="G774">
        <v>1</v>
      </c>
      <c r="H774">
        <v>604.87</v>
      </c>
      <c r="I774" t="s">
        <v>2865</v>
      </c>
      <c r="J774" t="s">
        <v>32</v>
      </c>
      <c r="K774" t="s">
        <v>57</v>
      </c>
      <c r="L774" t="s">
        <v>2866</v>
      </c>
      <c r="M774">
        <v>4</v>
      </c>
      <c r="O774" t="s">
        <v>26</v>
      </c>
      <c r="P774">
        <v>604.87</v>
      </c>
      <c r="Q774">
        <v>604.87</v>
      </c>
      <c r="R774" t="str">
        <f>IF(OR(P774&lt;Outliers!$B$5, P774&gt;Outliers!$B$6), "outliers", "")</f>
        <v/>
      </c>
    </row>
    <row r="775" spans="1:18" x14ac:dyDescent="0.25">
      <c r="A775" t="s">
        <v>2867</v>
      </c>
      <c r="B775" s="1">
        <v>45836</v>
      </c>
      <c r="C775">
        <v>2025</v>
      </c>
      <c r="D775" t="s">
        <v>53</v>
      </c>
      <c r="E775" t="s">
        <v>2868</v>
      </c>
      <c r="F775" t="s">
        <v>30</v>
      </c>
      <c r="G775">
        <v>2</v>
      </c>
      <c r="H775">
        <v>512.33000000000004</v>
      </c>
      <c r="I775" t="s">
        <v>2869</v>
      </c>
      <c r="J775" t="s">
        <v>72</v>
      </c>
      <c r="K775" t="s">
        <v>40</v>
      </c>
      <c r="L775" t="s">
        <v>2870</v>
      </c>
      <c r="M775">
        <v>7</v>
      </c>
      <c r="O775" t="s">
        <v>51</v>
      </c>
      <c r="P775">
        <v>1024.6600000000001</v>
      </c>
      <c r="Q775">
        <v>1024.6600000000001</v>
      </c>
      <c r="R775" t="str">
        <f>IF(OR(P775&lt;Outliers!$B$5, P775&gt;Outliers!$B$6), "outliers", "")</f>
        <v/>
      </c>
    </row>
    <row r="776" spans="1:18" x14ac:dyDescent="0.25">
      <c r="A776" t="s">
        <v>2871</v>
      </c>
      <c r="B776" s="1">
        <v>45762</v>
      </c>
      <c r="C776">
        <v>2025</v>
      </c>
      <c r="D776" t="s">
        <v>53</v>
      </c>
      <c r="E776" t="s">
        <v>2872</v>
      </c>
      <c r="F776" t="s">
        <v>47</v>
      </c>
      <c r="G776">
        <v>3</v>
      </c>
      <c r="H776">
        <v>20.54</v>
      </c>
      <c r="I776" t="s">
        <v>2873</v>
      </c>
      <c r="J776" t="s">
        <v>39</v>
      </c>
      <c r="K776" t="s">
        <v>40</v>
      </c>
      <c r="L776" t="s">
        <v>2874</v>
      </c>
      <c r="M776">
        <v>3</v>
      </c>
      <c r="N776" t="s">
        <v>42</v>
      </c>
      <c r="O776" t="s">
        <v>26</v>
      </c>
      <c r="P776">
        <v>61.62</v>
      </c>
      <c r="Q776">
        <v>61.62</v>
      </c>
      <c r="R776" t="str">
        <f>IF(OR(P776&lt;Outliers!$B$5, P776&gt;Outliers!$B$6), "outliers", "")</f>
        <v/>
      </c>
    </row>
    <row r="777" spans="1:18" x14ac:dyDescent="0.25">
      <c r="A777" t="s">
        <v>2875</v>
      </c>
      <c r="B777" s="1">
        <v>44989</v>
      </c>
      <c r="C777">
        <v>2023</v>
      </c>
      <c r="D777" t="s">
        <v>18</v>
      </c>
      <c r="E777" t="s">
        <v>2876</v>
      </c>
      <c r="F777" t="s">
        <v>30</v>
      </c>
      <c r="G777">
        <v>2</v>
      </c>
      <c r="H777">
        <v>625.22</v>
      </c>
      <c r="I777" t="s">
        <v>132</v>
      </c>
      <c r="J777" t="s">
        <v>32</v>
      </c>
      <c r="K777" t="s">
        <v>40</v>
      </c>
      <c r="L777" t="s">
        <v>2877</v>
      </c>
      <c r="M777">
        <v>5</v>
      </c>
      <c r="O777" t="s">
        <v>83</v>
      </c>
      <c r="P777">
        <v>1250.44</v>
      </c>
      <c r="Q777">
        <v>1250.44</v>
      </c>
      <c r="R777" t="str">
        <f>IF(OR(P777&lt;Outliers!$B$5, P777&gt;Outliers!$B$6), "outliers", "")</f>
        <v/>
      </c>
    </row>
    <row r="778" spans="1:18" x14ac:dyDescent="0.25">
      <c r="A778" t="s">
        <v>2878</v>
      </c>
      <c r="B778" s="1">
        <v>45159</v>
      </c>
      <c r="C778">
        <v>2023</v>
      </c>
      <c r="D778" t="s">
        <v>28</v>
      </c>
      <c r="E778" t="s">
        <v>2879</v>
      </c>
      <c r="F778" t="s">
        <v>37</v>
      </c>
      <c r="G778">
        <v>1</v>
      </c>
      <c r="H778">
        <v>21.19</v>
      </c>
      <c r="I778" t="s">
        <v>2880</v>
      </c>
      <c r="J778" t="s">
        <v>72</v>
      </c>
      <c r="K778" t="s">
        <v>49</v>
      </c>
      <c r="L778" t="s">
        <v>2881</v>
      </c>
      <c r="M778">
        <v>5</v>
      </c>
      <c r="N778" t="s">
        <v>88</v>
      </c>
      <c r="O778" t="s">
        <v>83</v>
      </c>
      <c r="P778">
        <v>21.19</v>
      </c>
      <c r="Q778">
        <v>21.19</v>
      </c>
      <c r="R778" t="str">
        <f>IF(OR(P778&lt;Outliers!$B$5, P778&gt;Outliers!$B$6), "outliers", "")</f>
        <v/>
      </c>
    </row>
    <row r="779" spans="1:18" x14ac:dyDescent="0.25">
      <c r="A779" t="s">
        <v>2882</v>
      </c>
      <c r="B779" s="1">
        <v>45737</v>
      </c>
      <c r="C779">
        <v>2025</v>
      </c>
      <c r="D779" t="s">
        <v>18</v>
      </c>
      <c r="E779" t="s">
        <v>2883</v>
      </c>
      <c r="F779" t="s">
        <v>47</v>
      </c>
      <c r="G779">
        <v>5</v>
      </c>
      <c r="H779">
        <v>64.489999999999995</v>
      </c>
      <c r="I779" t="s">
        <v>136</v>
      </c>
      <c r="J779" t="s">
        <v>32</v>
      </c>
      <c r="K779" t="s">
        <v>40</v>
      </c>
      <c r="L779" t="s">
        <v>2884</v>
      </c>
      <c r="M779">
        <v>7</v>
      </c>
      <c r="O779" t="s">
        <v>51</v>
      </c>
      <c r="P779">
        <v>322.45</v>
      </c>
      <c r="Q779">
        <v>322.45</v>
      </c>
      <c r="R779" t="str">
        <f>IF(OR(P779&lt;Outliers!$B$5, P779&gt;Outliers!$B$6), "outliers", "")</f>
        <v/>
      </c>
    </row>
    <row r="780" spans="1:18" x14ac:dyDescent="0.25">
      <c r="A780" t="s">
        <v>2885</v>
      </c>
      <c r="B780" s="1">
        <v>45044</v>
      </c>
      <c r="C780">
        <v>2023</v>
      </c>
      <c r="D780" t="s">
        <v>53</v>
      </c>
      <c r="E780" t="s">
        <v>2886</v>
      </c>
      <c r="F780" t="s">
        <v>65</v>
      </c>
      <c r="G780">
        <v>4</v>
      </c>
      <c r="H780">
        <v>246.85</v>
      </c>
      <c r="I780" t="s">
        <v>2887</v>
      </c>
      <c r="J780" t="s">
        <v>39</v>
      </c>
      <c r="K780" t="s">
        <v>23</v>
      </c>
      <c r="L780" t="s">
        <v>2888</v>
      </c>
      <c r="M780">
        <v>8</v>
      </c>
      <c r="N780" t="s">
        <v>88</v>
      </c>
      <c r="O780" t="s">
        <v>83</v>
      </c>
      <c r="P780">
        <v>987.4</v>
      </c>
      <c r="Q780">
        <v>987.4</v>
      </c>
      <c r="R780" t="str">
        <f>IF(OR(P780&lt;Outliers!$B$5, P780&gt;Outliers!$B$6), "outliers", "")</f>
        <v/>
      </c>
    </row>
    <row r="781" spans="1:18" x14ac:dyDescent="0.25">
      <c r="A781" t="s">
        <v>2889</v>
      </c>
      <c r="B781" s="1">
        <v>45261</v>
      </c>
      <c r="C781">
        <v>2023</v>
      </c>
      <c r="D781" t="s">
        <v>45</v>
      </c>
      <c r="E781" t="s">
        <v>2890</v>
      </c>
      <c r="F781" t="s">
        <v>30</v>
      </c>
      <c r="G781">
        <v>3</v>
      </c>
      <c r="H781">
        <v>588.74</v>
      </c>
      <c r="I781" t="s">
        <v>2891</v>
      </c>
      <c r="J781" t="s">
        <v>22</v>
      </c>
      <c r="K781" t="s">
        <v>96</v>
      </c>
      <c r="L781" t="s">
        <v>2892</v>
      </c>
      <c r="M781">
        <v>8</v>
      </c>
      <c r="N781" t="s">
        <v>42</v>
      </c>
      <c r="O781" t="s">
        <v>43</v>
      </c>
      <c r="P781">
        <v>1766.22</v>
      </c>
      <c r="Q781">
        <v>1766.22</v>
      </c>
      <c r="R781" t="str">
        <f>IF(OR(P781&lt;Outliers!$B$5, P781&gt;Outliers!$B$6), "outliers", "")</f>
        <v/>
      </c>
    </row>
    <row r="782" spans="1:18" x14ac:dyDescent="0.25">
      <c r="A782" t="s">
        <v>2893</v>
      </c>
      <c r="B782" s="1">
        <v>45382</v>
      </c>
      <c r="C782">
        <v>2024</v>
      </c>
      <c r="D782" t="s">
        <v>18</v>
      </c>
      <c r="E782" t="s">
        <v>2894</v>
      </c>
      <c r="F782" t="s">
        <v>65</v>
      </c>
      <c r="G782">
        <v>4</v>
      </c>
      <c r="H782">
        <v>184.48</v>
      </c>
      <c r="I782" t="s">
        <v>1719</v>
      </c>
      <c r="J782" t="s">
        <v>32</v>
      </c>
      <c r="K782" t="s">
        <v>40</v>
      </c>
      <c r="L782" t="s">
        <v>2895</v>
      </c>
      <c r="M782">
        <v>4</v>
      </c>
      <c r="N782" t="s">
        <v>88</v>
      </c>
      <c r="O782" t="s">
        <v>83</v>
      </c>
      <c r="P782">
        <v>737.92</v>
      </c>
      <c r="Q782">
        <v>737.92</v>
      </c>
      <c r="R782" t="str">
        <f>IF(OR(P782&lt;Outliers!$B$5, P782&gt;Outliers!$B$6), "outliers", "")</f>
        <v/>
      </c>
    </row>
    <row r="783" spans="1:18" x14ac:dyDescent="0.25">
      <c r="A783" t="s">
        <v>2896</v>
      </c>
      <c r="B783" s="1">
        <v>45301</v>
      </c>
      <c r="C783">
        <v>2024</v>
      </c>
      <c r="D783" t="s">
        <v>18</v>
      </c>
      <c r="E783" t="s">
        <v>2897</v>
      </c>
      <c r="F783" t="s">
        <v>30</v>
      </c>
      <c r="G783">
        <v>5</v>
      </c>
      <c r="H783">
        <v>524.26</v>
      </c>
      <c r="I783" t="s">
        <v>61</v>
      </c>
      <c r="J783" t="s">
        <v>67</v>
      </c>
      <c r="K783" t="s">
        <v>57</v>
      </c>
      <c r="L783" t="s">
        <v>2898</v>
      </c>
      <c r="M783">
        <v>5</v>
      </c>
      <c r="N783" t="s">
        <v>42</v>
      </c>
      <c r="O783" t="s">
        <v>34</v>
      </c>
      <c r="P783">
        <v>2621.3000000000002</v>
      </c>
      <c r="Q783">
        <v>2621.3000000000002</v>
      </c>
      <c r="R783" t="str">
        <f>IF(OR(P783&lt;Outliers!$B$5, P783&gt;Outliers!$B$6), "outliers", "")</f>
        <v/>
      </c>
    </row>
    <row r="784" spans="1:18" x14ac:dyDescent="0.25">
      <c r="A784" t="s">
        <v>2899</v>
      </c>
      <c r="B784" s="1">
        <v>45515</v>
      </c>
      <c r="C784">
        <v>2024</v>
      </c>
      <c r="D784" t="s">
        <v>28</v>
      </c>
      <c r="E784" t="s">
        <v>2900</v>
      </c>
      <c r="F784" t="s">
        <v>20</v>
      </c>
      <c r="G784">
        <v>2</v>
      </c>
      <c r="H784">
        <v>493.63</v>
      </c>
      <c r="I784" t="s">
        <v>2160</v>
      </c>
      <c r="J784" t="s">
        <v>32</v>
      </c>
      <c r="K784" t="s">
        <v>49</v>
      </c>
      <c r="L784" t="s">
        <v>2901</v>
      </c>
      <c r="M784">
        <v>6</v>
      </c>
      <c r="N784" t="s">
        <v>25</v>
      </c>
      <c r="O784" t="s">
        <v>34</v>
      </c>
      <c r="P784">
        <v>987.26</v>
      </c>
      <c r="Q784">
        <v>987.26</v>
      </c>
      <c r="R784" t="str">
        <f>IF(OR(P784&lt;Outliers!$B$5, P784&gt;Outliers!$B$6), "outliers", "")</f>
        <v/>
      </c>
    </row>
    <row r="785" spans="1:18" x14ac:dyDescent="0.25">
      <c r="A785" t="s">
        <v>2902</v>
      </c>
      <c r="B785" s="1">
        <v>45803</v>
      </c>
      <c r="C785">
        <v>2025</v>
      </c>
      <c r="D785" t="s">
        <v>53</v>
      </c>
      <c r="E785" t="s">
        <v>2903</v>
      </c>
      <c r="F785" t="s">
        <v>55</v>
      </c>
      <c r="G785">
        <v>1</v>
      </c>
      <c r="H785">
        <v>438.34</v>
      </c>
      <c r="I785" t="s">
        <v>2668</v>
      </c>
      <c r="J785" t="s">
        <v>67</v>
      </c>
      <c r="K785" t="s">
        <v>49</v>
      </c>
      <c r="L785" t="s">
        <v>2904</v>
      </c>
      <c r="M785">
        <v>5</v>
      </c>
      <c r="N785" t="s">
        <v>42</v>
      </c>
      <c r="O785" t="s">
        <v>51</v>
      </c>
      <c r="P785">
        <v>438.34</v>
      </c>
      <c r="Q785">
        <v>438.34</v>
      </c>
      <c r="R785" t="str">
        <f>IF(OR(P785&lt;Outliers!$B$5, P785&gt;Outliers!$B$6), "outliers", "")</f>
        <v/>
      </c>
    </row>
    <row r="786" spans="1:18" x14ac:dyDescent="0.25">
      <c r="A786" t="s">
        <v>2905</v>
      </c>
      <c r="B786" s="1">
        <v>45793</v>
      </c>
      <c r="C786">
        <v>2025</v>
      </c>
      <c r="D786" t="s">
        <v>53</v>
      </c>
      <c r="E786" t="s">
        <v>2906</v>
      </c>
      <c r="F786" t="s">
        <v>65</v>
      </c>
      <c r="G786">
        <v>1</v>
      </c>
      <c r="H786">
        <v>325.81</v>
      </c>
      <c r="I786" t="s">
        <v>253</v>
      </c>
      <c r="J786" t="s">
        <v>39</v>
      </c>
      <c r="K786" t="s">
        <v>96</v>
      </c>
      <c r="L786" t="s">
        <v>2907</v>
      </c>
      <c r="M786">
        <v>1</v>
      </c>
      <c r="N786" t="s">
        <v>88</v>
      </c>
      <c r="O786" t="s">
        <v>34</v>
      </c>
      <c r="P786">
        <v>325.81</v>
      </c>
      <c r="Q786">
        <v>325.81</v>
      </c>
      <c r="R786" t="str">
        <f>IF(OR(P786&lt;Outliers!$B$5, P786&gt;Outliers!$B$6), "outliers", "")</f>
        <v/>
      </c>
    </row>
    <row r="787" spans="1:18" x14ac:dyDescent="0.25">
      <c r="A787" t="s">
        <v>2908</v>
      </c>
      <c r="B787" s="1">
        <v>45136</v>
      </c>
      <c r="C787">
        <v>2023</v>
      </c>
      <c r="D787" t="s">
        <v>28</v>
      </c>
      <c r="E787" t="s">
        <v>2909</v>
      </c>
      <c r="F787" t="s">
        <v>47</v>
      </c>
      <c r="G787">
        <v>1</v>
      </c>
      <c r="H787">
        <v>176.1</v>
      </c>
      <c r="I787" t="s">
        <v>2910</v>
      </c>
      <c r="J787" t="s">
        <v>39</v>
      </c>
      <c r="K787" t="s">
        <v>96</v>
      </c>
      <c r="L787" t="s">
        <v>2911</v>
      </c>
      <c r="M787">
        <v>1</v>
      </c>
      <c r="N787" t="s">
        <v>25</v>
      </c>
      <c r="O787" t="s">
        <v>26</v>
      </c>
      <c r="P787">
        <v>176.1</v>
      </c>
      <c r="Q787">
        <v>176.1</v>
      </c>
      <c r="R787" t="str">
        <f>IF(OR(P787&lt;Outliers!$B$5, P787&gt;Outliers!$B$6), "outliers", "")</f>
        <v/>
      </c>
    </row>
    <row r="788" spans="1:18" x14ac:dyDescent="0.25">
      <c r="A788" t="s">
        <v>2912</v>
      </c>
      <c r="B788" s="1">
        <v>45161</v>
      </c>
      <c r="C788">
        <v>2023</v>
      </c>
      <c r="D788" t="s">
        <v>28</v>
      </c>
      <c r="E788" t="s">
        <v>2913</v>
      </c>
      <c r="F788" t="s">
        <v>47</v>
      </c>
      <c r="G788">
        <v>5</v>
      </c>
      <c r="H788">
        <v>45.31</v>
      </c>
      <c r="I788" t="s">
        <v>2914</v>
      </c>
      <c r="J788" t="s">
        <v>32</v>
      </c>
      <c r="K788" t="s">
        <v>40</v>
      </c>
      <c r="L788" t="s">
        <v>2915</v>
      </c>
      <c r="M788">
        <v>8</v>
      </c>
      <c r="O788" t="s">
        <v>34</v>
      </c>
      <c r="P788">
        <v>226.55</v>
      </c>
      <c r="Q788">
        <v>226.55</v>
      </c>
      <c r="R788" t="str">
        <f>IF(OR(P788&lt;Outliers!$B$5, P788&gt;Outliers!$B$6), "outliers", "")</f>
        <v/>
      </c>
    </row>
    <row r="789" spans="1:18" x14ac:dyDescent="0.25">
      <c r="A789" t="s">
        <v>2916</v>
      </c>
      <c r="B789" s="1">
        <v>45368</v>
      </c>
      <c r="C789">
        <v>2024</v>
      </c>
      <c r="D789" t="s">
        <v>18</v>
      </c>
      <c r="E789" t="s">
        <v>2917</v>
      </c>
      <c r="F789" t="s">
        <v>80</v>
      </c>
      <c r="G789">
        <v>4</v>
      </c>
      <c r="H789">
        <v>221.96</v>
      </c>
      <c r="I789" t="s">
        <v>2918</v>
      </c>
      <c r="J789" t="s">
        <v>72</v>
      </c>
      <c r="K789" t="s">
        <v>57</v>
      </c>
      <c r="L789" t="s">
        <v>2919</v>
      </c>
      <c r="M789">
        <v>7</v>
      </c>
      <c r="O789" t="s">
        <v>83</v>
      </c>
      <c r="P789">
        <v>887.84</v>
      </c>
      <c r="Q789">
        <v>887.84</v>
      </c>
      <c r="R789" t="str">
        <f>IF(OR(P789&lt;Outliers!$B$5, P789&gt;Outliers!$B$6), "outliers", "")</f>
        <v/>
      </c>
    </row>
    <row r="790" spans="1:18" x14ac:dyDescent="0.25">
      <c r="A790" t="s">
        <v>2920</v>
      </c>
      <c r="B790" s="1">
        <v>45232</v>
      </c>
      <c r="C790">
        <v>2023</v>
      </c>
      <c r="D790" t="s">
        <v>45</v>
      </c>
      <c r="E790" t="s">
        <v>2921</v>
      </c>
      <c r="F790" t="s">
        <v>47</v>
      </c>
      <c r="G790">
        <v>2</v>
      </c>
      <c r="H790">
        <v>601.42999999999995</v>
      </c>
      <c r="I790" t="s">
        <v>2922</v>
      </c>
      <c r="J790" t="s">
        <v>32</v>
      </c>
      <c r="K790" t="s">
        <v>96</v>
      </c>
      <c r="L790" t="s">
        <v>2923</v>
      </c>
      <c r="M790">
        <v>5</v>
      </c>
      <c r="N790" t="s">
        <v>42</v>
      </c>
      <c r="O790" t="s">
        <v>26</v>
      </c>
      <c r="P790">
        <v>1202.8599999999999</v>
      </c>
      <c r="Q790">
        <v>1202.8599999999999</v>
      </c>
      <c r="R790" t="str">
        <f>IF(OR(P790&lt;Outliers!$B$5, P790&gt;Outliers!$B$6), "outliers", "")</f>
        <v/>
      </c>
    </row>
    <row r="791" spans="1:18" x14ac:dyDescent="0.25">
      <c r="A791" t="s">
        <v>2924</v>
      </c>
      <c r="B791" s="1">
        <v>45155</v>
      </c>
      <c r="C791">
        <v>2023</v>
      </c>
      <c r="D791" t="s">
        <v>28</v>
      </c>
      <c r="E791" t="s">
        <v>2925</v>
      </c>
      <c r="F791" t="s">
        <v>37</v>
      </c>
      <c r="G791">
        <v>5</v>
      </c>
      <c r="H791">
        <v>691.28</v>
      </c>
      <c r="I791" t="s">
        <v>2926</v>
      </c>
      <c r="J791" t="s">
        <v>32</v>
      </c>
      <c r="K791" t="s">
        <v>57</v>
      </c>
      <c r="L791" t="s">
        <v>2927</v>
      </c>
      <c r="M791">
        <v>10</v>
      </c>
      <c r="N791" t="s">
        <v>25</v>
      </c>
      <c r="O791" t="s">
        <v>43</v>
      </c>
      <c r="P791">
        <v>3456.4</v>
      </c>
      <c r="Q791">
        <v>3456.4</v>
      </c>
      <c r="R791" t="str">
        <f>IF(OR(P791&lt;Outliers!$B$5, P791&gt;Outliers!$B$6), "outliers", "")</f>
        <v>outliers</v>
      </c>
    </row>
    <row r="792" spans="1:18" x14ac:dyDescent="0.25">
      <c r="A792" t="s">
        <v>2928</v>
      </c>
      <c r="B792" s="1">
        <v>45549</v>
      </c>
      <c r="C792">
        <v>2024</v>
      </c>
      <c r="D792" t="s">
        <v>28</v>
      </c>
      <c r="E792" t="s">
        <v>2929</v>
      </c>
      <c r="F792" t="s">
        <v>65</v>
      </c>
      <c r="G792">
        <v>4</v>
      </c>
      <c r="H792">
        <v>417.89</v>
      </c>
      <c r="I792" t="s">
        <v>2930</v>
      </c>
      <c r="J792" t="s">
        <v>67</v>
      </c>
      <c r="K792" t="s">
        <v>96</v>
      </c>
      <c r="L792" t="s">
        <v>2931</v>
      </c>
      <c r="M792">
        <v>4</v>
      </c>
      <c r="O792" t="s">
        <v>83</v>
      </c>
      <c r="P792">
        <v>1671.56</v>
      </c>
      <c r="Q792">
        <v>1671.56</v>
      </c>
      <c r="R792" t="str">
        <f>IF(OR(P792&lt;Outliers!$B$5, P792&gt;Outliers!$B$6), "outliers", "")</f>
        <v/>
      </c>
    </row>
    <row r="793" spans="1:18" x14ac:dyDescent="0.25">
      <c r="A793" t="s">
        <v>2932</v>
      </c>
      <c r="B793" s="1">
        <v>45304</v>
      </c>
      <c r="C793">
        <v>2024</v>
      </c>
      <c r="D793" t="s">
        <v>18</v>
      </c>
      <c r="E793" t="s">
        <v>2933</v>
      </c>
      <c r="F793" t="s">
        <v>47</v>
      </c>
      <c r="G793">
        <v>4</v>
      </c>
      <c r="H793">
        <v>409.28</v>
      </c>
      <c r="I793" t="s">
        <v>144</v>
      </c>
      <c r="J793" t="s">
        <v>72</v>
      </c>
      <c r="K793" t="s">
        <v>96</v>
      </c>
      <c r="L793" t="s">
        <v>2934</v>
      </c>
      <c r="M793">
        <v>8</v>
      </c>
      <c r="O793" t="s">
        <v>43</v>
      </c>
      <c r="P793">
        <v>1637.12</v>
      </c>
      <c r="Q793">
        <v>1637.12</v>
      </c>
      <c r="R793" t="str">
        <f>IF(OR(P793&lt;Outliers!$B$5, P793&gt;Outliers!$B$6), "outliers", "")</f>
        <v/>
      </c>
    </row>
    <row r="794" spans="1:18" x14ac:dyDescent="0.25">
      <c r="A794" t="s">
        <v>2935</v>
      </c>
      <c r="B794" s="1">
        <v>45093</v>
      </c>
      <c r="C794">
        <v>2023</v>
      </c>
      <c r="D794" t="s">
        <v>53</v>
      </c>
      <c r="E794" t="s">
        <v>2936</v>
      </c>
      <c r="F794" t="s">
        <v>80</v>
      </c>
      <c r="G794">
        <v>2</v>
      </c>
      <c r="H794">
        <v>356.35</v>
      </c>
      <c r="I794" t="s">
        <v>2937</v>
      </c>
      <c r="J794" t="s">
        <v>22</v>
      </c>
      <c r="K794" t="s">
        <v>49</v>
      </c>
      <c r="L794" t="s">
        <v>2938</v>
      </c>
      <c r="M794">
        <v>6</v>
      </c>
      <c r="N794" t="s">
        <v>88</v>
      </c>
      <c r="O794" t="s">
        <v>51</v>
      </c>
      <c r="P794">
        <v>712.7</v>
      </c>
      <c r="Q794">
        <v>712.7</v>
      </c>
      <c r="R794" t="str">
        <f>IF(OR(P794&lt;Outliers!$B$5, P794&gt;Outliers!$B$6), "outliers", "")</f>
        <v/>
      </c>
    </row>
    <row r="795" spans="1:18" x14ac:dyDescent="0.25">
      <c r="A795" t="s">
        <v>2939</v>
      </c>
      <c r="B795" s="1">
        <v>45397</v>
      </c>
      <c r="C795">
        <v>2024</v>
      </c>
      <c r="D795" t="s">
        <v>53</v>
      </c>
      <c r="E795" t="s">
        <v>2940</v>
      </c>
      <c r="F795" t="s">
        <v>47</v>
      </c>
      <c r="G795">
        <v>5</v>
      </c>
      <c r="H795">
        <v>170.22</v>
      </c>
      <c r="I795" t="s">
        <v>1646</v>
      </c>
      <c r="J795" t="s">
        <v>22</v>
      </c>
      <c r="K795" t="s">
        <v>57</v>
      </c>
      <c r="L795" t="s">
        <v>2941</v>
      </c>
      <c r="M795">
        <v>8</v>
      </c>
      <c r="O795" t="s">
        <v>34</v>
      </c>
      <c r="P795">
        <v>851.1</v>
      </c>
      <c r="Q795">
        <v>851.1</v>
      </c>
      <c r="R795" t="str">
        <f>IF(OR(P795&lt;Outliers!$B$5, P795&gt;Outliers!$B$6), "outliers", "")</f>
        <v/>
      </c>
    </row>
    <row r="796" spans="1:18" x14ac:dyDescent="0.25">
      <c r="A796" t="s">
        <v>2942</v>
      </c>
      <c r="B796" s="1">
        <v>44994</v>
      </c>
      <c r="C796">
        <v>2023</v>
      </c>
      <c r="D796" t="s">
        <v>18</v>
      </c>
      <c r="E796" t="s">
        <v>2943</v>
      </c>
      <c r="F796" t="s">
        <v>55</v>
      </c>
      <c r="G796">
        <v>4</v>
      </c>
      <c r="H796">
        <v>384.85</v>
      </c>
      <c r="I796" t="s">
        <v>2944</v>
      </c>
      <c r="J796" t="s">
        <v>32</v>
      </c>
      <c r="K796" t="s">
        <v>57</v>
      </c>
      <c r="L796" t="s">
        <v>2945</v>
      </c>
      <c r="M796">
        <v>9</v>
      </c>
      <c r="N796" t="s">
        <v>42</v>
      </c>
      <c r="O796" t="s">
        <v>26</v>
      </c>
      <c r="P796">
        <v>1539.4</v>
      </c>
      <c r="Q796">
        <v>1539.4</v>
      </c>
      <c r="R796" t="str">
        <f>IF(OR(P796&lt;Outliers!$B$5, P796&gt;Outliers!$B$6), "outliers", "")</f>
        <v/>
      </c>
    </row>
    <row r="797" spans="1:18" x14ac:dyDescent="0.25">
      <c r="A797" t="s">
        <v>2946</v>
      </c>
      <c r="B797" s="1">
        <v>45616</v>
      </c>
      <c r="C797">
        <v>2024</v>
      </c>
      <c r="D797" t="s">
        <v>45</v>
      </c>
      <c r="E797" t="s">
        <v>2947</v>
      </c>
      <c r="F797" t="s">
        <v>65</v>
      </c>
      <c r="G797">
        <v>4</v>
      </c>
      <c r="H797">
        <v>115.77</v>
      </c>
      <c r="I797" t="s">
        <v>2948</v>
      </c>
      <c r="J797" t="s">
        <v>32</v>
      </c>
      <c r="K797" t="s">
        <v>96</v>
      </c>
      <c r="L797" t="s">
        <v>2949</v>
      </c>
      <c r="M797">
        <v>7</v>
      </c>
      <c r="N797" t="s">
        <v>25</v>
      </c>
      <c r="O797" t="s">
        <v>26</v>
      </c>
      <c r="P797">
        <v>463.08</v>
      </c>
      <c r="Q797">
        <v>463.08</v>
      </c>
      <c r="R797" t="str">
        <f>IF(OR(P797&lt;Outliers!$B$5, P797&gt;Outliers!$B$6), "outliers", "")</f>
        <v/>
      </c>
    </row>
    <row r="798" spans="1:18" x14ac:dyDescent="0.25">
      <c r="A798" t="s">
        <v>2950</v>
      </c>
      <c r="B798" s="1">
        <v>45776</v>
      </c>
      <c r="C798">
        <v>2025</v>
      </c>
      <c r="D798" t="s">
        <v>53</v>
      </c>
      <c r="E798" t="s">
        <v>2951</v>
      </c>
      <c r="F798" t="s">
        <v>30</v>
      </c>
      <c r="G798">
        <v>3</v>
      </c>
      <c r="H798">
        <v>579.54999999999995</v>
      </c>
      <c r="I798" t="s">
        <v>891</v>
      </c>
      <c r="J798" t="s">
        <v>67</v>
      </c>
      <c r="K798" t="s">
        <v>49</v>
      </c>
      <c r="L798" t="s">
        <v>2952</v>
      </c>
      <c r="M798">
        <v>8</v>
      </c>
      <c r="N798" t="s">
        <v>88</v>
      </c>
      <c r="O798" t="s">
        <v>51</v>
      </c>
      <c r="P798">
        <v>1738.65</v>
      </c>
      <c r="Q798">
        <v>1738.65</v>
      </c>
      <c r="R798" t="str">
        <f>IF(OR(P798&lt;Outliers!$B$5, P798&gt;Outliers!$B$6), "outliers", "")</f>
        <v/>
      </c>
    </row>
    <row r="799" spans="1:18" x14ac:dyDescent="0.25">
      <c r="A799" t="s">
        <v>2953</v>
      </c>
      <c r="B799" s="1">
        <v>44984</v>
      </c>
      <c r="C799">
        <v>2023</v>
      </c>
      <c r="D799" t="s">
        <v>18</v>
      </c>
      <c r="E799" t="s">
        <v>2954</v>
      </c>
      <c r="F799" t="s">
        <v>65</v>
      </c>
      <c r="G799">
        <v>2</v>
      </c>
      <c r="H799">
        <v>438.76</v>
      </c>
      <c r="I799" t="s">
        <v>2955</v>
      </c>
      <c r="J799" t="s">
        <v>22</v>
      </c>
      <c r="K799" t="s">
        <v>49</v>
      </c>
      <c r="L799" t="s">
        <v>2956</v>
      </c>
      <c r="M799">
        <v>2</v>
      </c>
      <c r="O799" t="s">
        <v>51</v>
      </c>
      <c r="P799">
        <v>877.52</v>
      </c>
      <c r="Q799">
        <v>877.52</v>
      </c>
      <c r="R799" t="str">
        <f>IF(OR(P799&lt;Outliers!$B$5, P799&gt;Outliers!$B$6), "outliers", "")</f>
        <v/>
      </c>
    </row>
    <row r="800" spans="1:18" x14ac:dyDescent="0.25">
      <c r="A800" t="s">
        <v>2957</v>
      </c>
      <c r="B800" s="1">
        <v>45796</v>
      </c>
      <c r="C800">
        <v>2025</v>
      </c>
      <c r="D800" t="s">
        <v>53</v>
      </c>
      <c r="E800" t="s">
        <v>2958</v>
      </c>
      <c r="F800" t="s">
        <v>30</v>
      </c>
      <c r="G800">
        <v>5</v>
      </c>
      <c r="H800">
        <v>488.35</v>
      </c>
      <c r="I800" t="s">
        <v>1240</v>
      </c>
      <c r="J800" t="s">
        <v>22</v>
      </c>
      <c r="K800" t="s">
        <v>49</v>
      </c>
      <c r="L800" t="s">
        <v>2959</v>
      </c>
      <c r="M800">
        <v>9</v>
      </c>
      <c r="N800" t="s">
        <v>42</v>
      </c>
      <c r="O800" t="s">
        <v>43</v>
      </c>
      <c r="P800">
        <v>2441.75</v>
      </c>
      <c r="Q800">
        <v>2441.75</v>
      </c>
      <c r="R800" t="str">
        <f>IF(OR(P800&lt;Outliers!$B$5, P800&gt;Outliers!$B$6), "outliers", "")</f>
        <v/>
      </c>
    </row>
    <row r="801" spans="1:18" x14ac:dyDescent="0.25">
      <c r="A801" t="s">
        <v>2960</v>
      </c>
      <c r="B801" s="1">
        <v>45032</v>
      </c>
      <c r="C801">
        <v>2023</v>
      </c>
      <c r="D801" t="s">
        <v>53</v>
      </c>
      <c r="E801" t="s">
        <v>2961</v>
      </c>
      <c r="F801" t="s">
        <v>65</v>
      </c>
      <c r="G801">
        <v>4</v>
      </c>
      <c r="H801">
        <v>328.56</v>
      </c>
      <c r="I801" t="s">
        <v>1077</v>
      </c>
      <c r="J801" t="s">
        <v>22</v>
      </c>
      <c r="K801" t="s">
        <v>49</v>
      </c>
      <c r="L801" t="s">
        <v>2962</v>
      </c>
      <c r="M801">
        <v>4</v>
      </c>
      <c r="N801" t="s">
        <v>42</v>
      </c>
      <c r="O801" t="s">
        <v>43</v>
      </c>
      <c r="P801">
        <v>1314.24</v>
      </c>
      <c r="Q801">
        <v>1314.24</v>
      </c>
      <c r="R801" t="str">
        <f>IF(OR(P801&lt;Outliers!$B$5, P801&gt;Outliers!$B$6), "outliers", "")</f>
        <v/>
      </c>
    </row>
    <row r="802" spans="1:18" x14ac:dyDescent="0.25">
      <c r="A802" t="s">
        <v>2963</v>
      </c>
      <c r="B802" s="1">
        <v>45744</v>
      </c>
      <c r="C802">
        <v>2025</v>
      </c>
      <c r="D802" t="s">
        <v>18</v>
      </c>
      <c r="E802" t="s">
        <v>2964</v>
      </c>
      <c r="F802" t="s">
        <v>37</v>
      </c>
      <c r="G802">
        <v>1</v>
      </c>
      <c r="H802">
        <v>68.39</v>
      </c>
      <c r="I802" t="s">
        <v>2965</v>
      </c>
      <c r="J802" t="s">
        <v>32</v>
      </c>
      <c r="K802" t="s">
        <v>49</v>
      </c>
      <c r="L802" t="s">
        <v>2966</v>
      </c>
      <c r="M802">
        <v>3</v>
      </c>
      <c r="N802" t="s">
        <v>88</v>
      </c>
      <c r="O802" t="s">
        <v>51</v>
      </c>
      <c r="P802">
        <v>68.39</v>
      </c>
      <c r="Q802">
        <v>68.39</v>
      </c>
      <c r="R802" t="str">
        <f>IF(OR(P802&lt;Outliers!$B$5, P802&gt;Outliers!$B$6), "outliers", "")</f>
        <v/>
      </c>
    </row>
    <row r="803" spans="1:18" x14ac:dyDescent="0.25">
      <c r="A803" t="s">
        <v>2967</v>
      </c>
      <c r="B803" s="1">
        <v>45049</v>
      </c>
      <c r="C803">
        <v>2023</v>
      </c>
      <c r="D803" t="s">
        <v>53</v>
      </c>
      <c r="E803" t="s">
        <v>155</v>
      </c>
      <c r="F803" t="s">
        <v>55</v>
      </c>
      <c r="G803">
        <v>4</v>
      </c>
      <c r="H803">
        <v>595.62</v>
      </c>
      <c r="I803" t="s">
        <v>2968</v>
      </c>
      <c r="J803" t="s">
        <v>22</v>
      </c>
      <c r="K803" t="s">
        <v>96</v>
      </c>
      <c r="L803" t="s">
        <v>2969</v>
      </c>
      <c r="M803">
        <v>8</v>
      </c>
      <c r="N803" t="s">
        <v>42</v>
      </c>
      <c r="O803" t="s">
        <v>51</v>
      </c>
      <c r="P803">
        <v>2382.48</v>
      </c>
      <c r="Q803">
        <v>2382.48</v>
      </c>
      <c r="R803" t="str">
        <f>IF(OR(P803&lt;Outliers!$B$5, P803&gt;Outliers!$B$6), "outliers", "")</f>
        <v/>
      </c>
    </row>
    <row r="804" spans="1:18" x14ac:dyDescent="0.25">
      <c r="A804" t="s">
        <v>2970</v>
      </c>
      <c r="B804" s="1">
        <v>45339</v>
      </c>
      <c r="C804">
        <v>2024</v>
      </c>
      <c r="D804" t="s">
        <v>18</v>
      </c>
      <c r="E804" t="s">
        <v>2971</v>
      </c>
      <c r="F804" t="s">
        <v>47</v>
      </c>
      <c r="G804">
        <v>5</v>
      </c>
      <c r="H804">
        <v>644.64</v>
      </c>
      <c r="I804" t="s">
        <v>2972</v>
      </c>
      <c r="J804" t="s">
        <v>67</v>
      </c>
      <c r="K804" t="s">
        <v>40</v>
      </c>
      <c r="L804" t="s">
        <v>2973</v>
      </c>
      <c r="M804">
        <v>6</v>
      </c>
      <c r="N804" t="s">
        <v>42</v>
      </c>
      <c r="O804" t="s">
        <v>43</v>
      </c>
      <c r="P804">
        <v>3223.2</v>
      </c>
      <c r="Q804">
        <v>3223.2</v>
      </c>
      <c r="R804" t="str">
        <f>IF(OR(P804&lt;Outliers!$B$5, P804&gt;Outliers!$B$6), "outliers", "")</f>
        <v/>
      </c>
    </row>
    <row r="805" spans="1:18" x14ac:dyDescent="0.25">
      <c r="A805" t="s">
        <v>2974</v>
      </c>
      <c r="B805" s="1">
        <v>45158</v>
      </c>
      <c r="C805">
        <v>2023</v>
      </c>
      <c r="D805" t="s">
        <v>28</v>
      </c>
      <c r="E805" t="s">
        <v>2975</v>
      </c>
      <c r="F805" t="s">
        <v>20</v>
      </c>
      <c r="G805">
        <v>5</v>
      </c>
      <c r="H805">
        <v>397.81</v>
      </c>
      <c r="I805" t="s">
        <v>230</v>
      </c>
      <c r="J805" t="s">
        <v>22</v>
      </c>
      <c r="K805" t="s">
        <v>49</v>
      </c>
      <c r="L805" t="s">
        <v>2976</v>
      </c>
      <c r="M805">
        <v>5</v>
      </c>
      <c r="N805" t="s">
        <v>25</v>
      </c>
      <c r="O805" t="s">
        <v>34</v>
      </c>
      <c r="P805">
        <v>1989.05</v>
      </c>
      <c r="Q805">
        <v>1989.05</v>
      </c>
      <c r="R805" t="str">
        <f>IF(OR(P805&lt;Outliers!$B$5, P805&gt;Outliers!$B$6), "outliers", "")</f>
        <v/>
      </c>
    </row>
    <row r="806" spans="1:18" x14ac:dyDescent="0.25">
      <c r="A806" t="s">
        <v>2977</v>
      </c>
      <c r="B806" s="1">
        <v>45292</v>
      </c>
      <c r="C806">
        <v>2024</v>
      </c>
      <c r="D806" t="s">
        <v>18</v>
      </c>
      <c r="E806" t="s">
        <v>2978</v>
      </c>
      <c r="F806" t="s">
        <v>47</v>
      </c>
      <c r="G806">
        <v>3</v>
      </c>
      <c r="H806">
        <v>236.5</v>
      </c>
      <c r="I806" t="s">
        <v>2979</v>
      </c>
      <c r="J806" t="s">
        <v>32</v>
      </c>
      <c r="K806" t="s">
        <v>57</v>
      </c>
      <c r="L806" t="s">
        <v>2980</v>
      </c>
      <c r="M806">
        <v>8</v>
      </c>
      <c r="N806" t="s">
        <v>42</v>
      </c>
      <c r="O806" t="s">
        <v>43</v>
      </c>
      <c r="P806">
        <v>709.5</v>
      </c>
      <c r="Q806">
        <v>709.5</v>
      </c>
      <c r="R806" t="str">
        <f>IF(OR(P806&lt;Outliers!$B$5, P806&gt;Outliers!$B$6), "outliers", "")</f>
        <v/>
      </c>
    </row>
    <row r="807" spans="1:18" x14ac:dyDescent="0.25">
      <c r="A807" t="s">
        <v>2981</v>
      </c>
      <c r="B807" s="1">
        <v>45580</v>
      </c>
      <c r="C807">
        <v>2024</v>
      </c>
      <c r="D807" t="s">
        <v>45</v>
      </c>
      <c r="E807" t="s">
        <v>2982</v>
      </c>
      <c r="F807" t="s">
        <v>65</v>
      </c>
      <c r="G807">
        <v>5</v>
      </c>
      <c r="H807">
        <v>472.01</v>
      </c>
      <c r="I807" t="s">
        <v>2983</v>
      </c>
      <c r="J807" t="s">
        <v>67</v>
      </c>
      <c r="K807" t="s">
        <v>40</v>
      </c>
      <c r="L807" t="s">
        <v>2984</v>
      </c>
      <c r="M807">
        <v>10</v>
      </c>
      <c r="N807" t="s">
        <v>25</v>
      </c>
      <c r="O807" t="s">
        <v>43</v>
      </c>
      <c r="P807">
        <v>2360.0500000000002</v>
      </c>
      <c r="Q807">
        <v>2360.0500000000002</v>
      </c>
      <c r="R807" t="str">
        <f>IF(OR(P807&lt;Outliers!$B$5, P807&gt;Outliers!$B$6), "outliers", "")</f>
        <v/>
      </c>
    </row>
    <row r="808" spans="1:18" x14ac:dyDescent="0.25">
      <c r="A808" t="s">
        <v>2985</v>
      </c>
      <c r="B808" s="1">
        <v>45170</v>
      </c>
      <c r="C808">
        <v>2023</v>
      </c>
      <c r="D808" t="s">
        <v>28</v>
      </c>
      <c r="E808" t="s">
        <v>2986</v>
      </c>
      <c r="F808" t="s">
        <v>47</v>
      </c>
      <c r="G808">
        <v>5</v>
      </c>
      <c r="H808">
        <v>253.75</v>
      </c>
      <c r="I808" t="s">
        <v>1128</v>
      </c>
      <c r="J808" t="s">
        <v>32</v>
      </c>
      <c r="K808" t="s">
        <v>96</v>
      </c>
      <c r="L808" t="s">
        <v>2987</v>
      </c>
      <c r="M808">
        <v>9</v>
      </c>
      <c r="N808" t="s">
        <v>88</v>
      </c>
      <c r="O808" t="s">
        <v>26</v>
      </c>
      <c r="P808">
        <v>1268.75</v>
      </c>
      <c r="Q808">
        <v>1268.75</v>
      </c>
      <c r="R808" t="str">
        <f>IF(OR(P808&lt;Outliers!$B$5, P808&gt;Outliers!$B$6), "outliers", "")</f>
        <v/>
      </c>
    </row>
    <row r="809" spans="1:18" x14ac:dyDescent="0.25">
      <c r="A809" t="s">
        <v>2988</v>
      </c>
      <c r="B809" s="1">
        <v>45606</v>
      </c>
      <c r="C809">
        <v>2024</v>
      </c>
      <c r="D809" t="s">
        <v>45</v>
      </c>
      <c r="E809" t="s">
        <v>2989</v>
      </c>
      <c r="F809" t="s">
        <v>20</v>
      </c>
      <c r="G809">
        <v>3</v>
      </c>
      <c r="H809">
        <v>676.21</v>
      </c>
      <c r="I809" t="s">
        <v>2990</v>
      </c>
      <c r="J809" t="s">
        <v>32</v>
      </c>
      <c r="K809" t="s">
        <v>57</v>
      </c>
      <c r="L809" t="s">
        <v>2991</v>
      </c>
      <c r="M809">
        <v>5</v>
      </c>
      <c r="N809" t="s">
        <v>25</v>
      </c>
      <c r="O809" t="s">
        <v>83</v>
      </c>
      <c r="P809">
        <v>2028.63</v>
      </c>
      <c r="Q809">
        <v>2028.63</v>
      </c>
      <c r="R809" t="str">
        <f>IF(OR(P809&lt;Outliers!$B$5, P809&gt;Outliers!$B$6), "outliers", "")</f>
        <v/>
      </c>
    </row>
    <row r="810" spans="1:18" x14ac:dyDescent="0.25">
      <c r="A810" t="s">
        <v>2992</v>
      </c>
      <c r="B810" s="1">
        <v>45335</v>
      </c>
      <c r="C810">
        <v>2024</v>
      </c>
      <c r="D810" t="s">
        <v>18</v>
      </c>
      <c r="E810" t="s">
        <v>2993</v>
      </c>
      <c r="F810" t="s">
        <v>80</v>
      </c>
      <c r="G810">
        <v>3</v>
      </c>
      <c r="H810">
        <v>134.05000000000001</v>
      </c>
      <c r="I810" t="s">
        <v>2994</v>
      </c>
      <c r="J810" t="s">
        <v>39</v>
      </c>
      <c r="K810" t="s">
        <v>23</v>
      </c>
      <c r="L810" t="s">
        <v>2995</v>
      </c>
      <c r="M810">
        <v>3</v>
      </c>
      <c r="O810" t="s">
        <v>83</v>
      </c>
      <c r="P810">
        <v>402.15</v>
      </c>
      <c r="Q810">
        <v>402.15</v>
      </c>
      <c r="R810" t="str">
        <f>IF(OR(P810&lt;Outliers!$B$5, P810&gt;Outliers!$B$6), "outliers", "")</f>
        <v/>
      </c>
    </row>
    <row r="811" spans="1:18" x14ac:dyDescent="0.25">
      <c r="A811" t="s">
        <v>2996</v>
      </c>
      <c r="B811" s="1">
        <v>45391</v>
      </c>
      <c r="C811">
        <v>2024</v>
      </c>
      <c r="D811" t="s">
        <v>53</v>
      </c>
      <c r="E811" t="s">
        <v>2997</v>
      </c>
      <c r="F811" t="s">
        <v>80</v>
      </c>
      <c r="G811">
        <v>5</v>
      </c>
      <c r="H811">
        <v>217.43</v>
      </c>
      <c r="I811" t="s">
        <v>300</v>
      </c>
      <c r="J811" t="s">
        <v>22</v>
      </c>
      <c r="K811" t="s">
        <v>23</v>
      </c>
      <c r="L811" t="s">
        <v>2998</v>
      </c>
      <c r="M811">
        <v>10</v>
      </c>
      <c r="N811" t="s">
        <v>25</v>
      </c>
      <c r="O811" t="s">
        <v>26</v>
      </c>
      <c r="P811">
        <v>1087.1500000000001</v>
      </c>
      <c r="Q811">
        <v>1087.1500000000001</v>
      </c>
      <c r="R811" t="str">
        <f>IF(OR(P811&lt;Outliers!$B$5, P811&gt;Outliers!$B$6), "outliers", "")</f>
        <v/>
      </c>
    </row>
    <row r="812" spans="1:18" x14ac:dyDescent="0.25">
      <c r="A812" t="s">
        <v>2999</v>
      </c>
      <c r="B812" s="1">
        <v>45077</v>
      </c>
      <c r="C812">
        <v>2023</v>
      </c>
      <c r="D812" t="s">
        <v>53</v>
      </c>
      <c r="E812" t="s">
        <v>3000</v>
      </c>
      <c r="F812" t="s">
        <v>37</v>
      </c>
      <c r="G812">
        <v>1</v>
      </c>
      <c r="H812">
        <v>553.55999999999995</v>
      </c>
      <c r="I812" t="s">
        <v>3001</v>
      </c>
      <c r="J812" t="s">
        <v>39</v>
      </c>
      <c r="K812" t="s">
        <v>40</v>
      </c>
      <c r="L812" t="s">
        <v>3002</v>
      </c>
      <c r="M812">
        <v>5</v>
      </c>
      <c r="O812" t="s">
        <v>34</v>
      </c>
      <c r="P812">
        <v>553.55999999999995</v>
      </c>
      <c r="Q812">
        <v>553.55999999999995</v>
      </c>
      <c r="R812" t="str">
        <f>IF(OR(P812&lt;Outliers!$B$5, P812&gt;Outliers!$B$6), "outliers", "")</f>
        <v/>
      </c>
    </row>
    <row r="813" spans="1:18" x14ac:dyDescent="0.25">
      <c r="A813" t="s">
        <v>3003</v>
      </c>
      <c r="B813" s="1">
        <v>45235</v>
      </c>
      <c r="C813">
        <v>2023</v>
      </c>
      <c r="D813" t="s">
        <v>45</v>
      </c>
      <c r="E813" t="s">
        <v>3004</v>
      </c>
      <c r="F813" t="s">
        <v>65</v>
      </c>
      <c r="G813">
        <v>2</v>
      </c>
      <c r="H813">
        <v>28.55</v>
      </c>
      <c r="I813" t="s">
        <v>2801</v>
      </c>
      <c r="J813" t="s">
        <v>67</v>
      </c>
      <c r="K813" t="s">
        <v>23</v>
      </c>
      <c r="L813" t="s">
        <v>3005</v>
      </c>
      <c r="M813">
        <v>7</v>
      </c>
      <c r="N813" t="s">
        <v>25</v>
      </c>
      <c r="O813" t="s">
        <v>43</v>
      </c>
      <c r="P813">
        <v>57.1</v>
      </c>
      <c r="Q813">
        <v>57.1</v>
      </c>
      <c r="R813" t="str">
        <f>IF(OR(P813&lt;Outliers!$B$5, P813&gt;Outliers!$B$6), "outliers", "")</f>
        <v/>
      </c>
    </row>
    <row r="814" spans="1:18" x14ac:dyDescent="0.25">
      <c r="A814" t="s">
        <v>3006</v>
      </c>
      <c r="B814" s="1">
        <v>45317</v>
      </c>
      <c r="C814">
        <v>2024</v>
      </c>
      <c r="D814" t="s">
        <v>18</v>
      </c>
      <c r="E814" t="s">
        <v>3007</v>
      </c>
      <c r="F814" t="s">
        <v>30</v>
      </c>
      <c r="G814">
        <v>2</v>
      </c>
      <c r="H814">
        <v>255.26</v>
      </c>
      <c r="I814" t="s">
        <v>1077</v>
      </c>
      <c r="J814" t="s">
        <v>39</v>
      </c>
      <c r="K814" t="s">
        <v>40</v>
      </c>
      <c r="L814" t="s">
        <v>3008</v>
      </c>
      <c r="M814">
        <v>6</v>
      </c>
      <c r="N814" t="s">
        <v>42</v>
      </c>
      <c r="O814" t="s">
        <v>83</v>
      </c>
      <c r="P814">
        <v>510.52</v>
      </c>
      <c r="Q814">
        <v>510.52</v>
      </c>
      <c r="R814" t="str">
        <f>IF(OR(P814&lt;Outliers!$B$5, P814&gt;Outliers!$B$6), "outliers", "")</f>
        <v/>
      </c>
    </row>
    <row r="815" spans="1:18" x14ac:dyDescent="0.25">
      <c r="A815" t="s">
        <v>3009</v>
      </c>
      <c r="B815" s="1">
        <v>45731</v>
      </c>
      <c r="C815">
        <v>2025</v>
      </c>
      <c r="D815" t="s">
        <v>18</v>
      </c>
      <c r="E815" t="s">
        <v>3010</v>
      </c>
      <c r="F815" t="s">
        <v>65</v>
      </c>
      <c r="G815">
        <v>5</v>
      </c>
      <c r="H815">
        <v>292.54000000000002</v>
      </c>
      <c r="I815" t="s">
        <v>1124</v>
      </c>
      <c r="J815" t="s">
        <v>22</v>
      </c>
      <c r="K815" t="s">
        <v>40</v>
      </c>
      <c r="L815" t="s">
        <v>3011</v>
      </c>
      <c r="M815">
        <v>8</v>
      </c>
      <c r="N815" t="s">
        <v>42</v>
      </c>
      <c r="O815" t="s">
        <v>43</v>
      </c>
      <c r="P815">
        <v>1462.7</v>
      </c>
      <c r="Q815">
        <v>1462.7</v>
      </c>
      <c r="R815" t="str">
        <f>IF(OR(P815&lt;Outliers!$B$5, P815&gt;Outliers!$B$6), "outliers", "")</f>
        <v/>
      </c>
    </row>
    <row r="816" spans="1:18" x14ac:dyDescent="0.25">
      <c r="A816" t="s">
        <v>3012</v>
      </c>
      <c r="B816" s="1">
        <v>45637</v>
      </c>
      <c r="C816">
        <v>2024</v>
      </c>
      <c r="D816" t="s">
        <v>45</v>
      </c>
      <c r="E816" t="s">
        <v>3013</v>
      </c>
      <c r="F816" t="s">
        <v>47</v>
      </c>
      <c r="G816">
        <v>4</v>
      </c>
      <c r="H816">
        <v>147.51</v>
      </c>
      <c r="I816" t="s">
        <v>3014</v>
      </c>
      <c r="J816" t="s">
        <v>22</v>
      </c>
      <c r="K816" t="s">
        <v>96</v>
      </c>
      <c r="L816" t="s">
        <v>3015</v>
      </c>
      <c r="M816">
        <v>4</v>
      </c>
      <c r="N816" t="s">
        <v>88</v>
      </c>
      <c r="O816" t="s">
        <v>26</v>
      </c>
      <c r="P816">
        <v>590.04</v>
      </c>
      <c r="Q816">
        <v>590.04</v>
      </c>
      <c r="R816" t="str">
        <f>IF(OR(P816&lt;Outliers!$B$5, P816&gt;Outliers!$B$6), "outliers", "")</f>
        <v/>
      </c>
    </row>
    <row r="817" spans="1:18" x14ac:dyDescent="0.25">
      <c r="A817" t="s">
        <v>3016</v>
      </c>
      <c r="B817" s="1">
        <v>45508</v>
      </c>
      <c r="C817">
        <v>2024</v>
      </c>
      <c r="D817" t="s">
        <v>28</v>
      </c>
      <c r="E817" t="s">
        <v>3017</v>
      </c>
      <c r="F817" t="s">
        <v>55</v>
      </c>
      <c r="G817">
        <v>3</v>
      </c>
      <c r="H817">
        <v>569.84</v>
      </c>
      <c r="I817" t="s">
        <v>3018</v>
      </c>
      <c r="J817" t="s">
        <v>67</v>
      </c>
      <c r="K817" t="s">
        <v>40</v>
      </c>
      <c r="L817" t="s">
        <v>3019</v>
      </c>
      <c r="M817">
        <v>8</v>
      </c>
      <c r="N817" t="s">
        <v>88</v>
      </c>
      <c r="O817" t="s">
        <v>26</v>
      </c>
      <c r="P817">
        <v>1709.52</v>
      </c>
      <c r="Q817">
        <v>1709.52</v>
      </c>
      <c r="R817" t="str">
        <f>IF(OR(P817&lt;Outliers!$B$5, P817&gt;Outliers!$B$6), "outliers", "")</f>
        <v/>
      </c>
    </row>
    <row r="818" spans="1:18" x14ac:dyDescent="0.25">
      <c r="A818" t="s">
        <v>3020</v>
      </c>
      <c r="B818" s="1">
        <v>45343</v>
      </c>
      <c r="C818">
        <v>2024</v>
      </c>
      <c r="D818" t="s">
        <v>18</v>
      </c>
      <c r="E818" t="s">
        <v>3021</v>
      </c>
      <c r="F818" t="s">
        <v>37</v>
      </c>
      <c r="G818">
        <v>5</v>
      </c>
      <c r="H818">
        <v>574.79</v>
      </c>
      <c r="I818" t="s">
        <v>899</v>
      </c>
      <c r="J818" t="s">
        <v>39</v>
      </c>
      <c r="K818" t="s">
        <v>96</v>
      </c>
      <c r="L818" t="s">
        <v>3022</v>
      </c>
      <c r="M818">
        <v>8</v>
      </c>
      <c r="N818" t="s">
        <v>88</v>
      </c>
      <c r="O818" t="s">
        <v>34</v>
      </c>
      <c r="P818">
        <v>2873.95</v>
      </c>
      <c r="Q818">
        <v>2873.95</v>
      </c>
      <c r="R818" t="str">
        <f>IF(OR(P818&lt;Outliers!$B$5, P818&gt;Outliers!$B$6), "outliers", "")</f>
        <v/>
      </c>
    </row>
    <row r="819" spans="1:18" x14ac:dyDescent="0.25">
      <c r="A819" t="s">
        <v>3023</v>
      </c>
      <c r="B819" s="1">
        <v>45204</v>
      </c>
      <c r="C819">
        <v>2023</v>
      </c>
      <c r="D819" t="s">
        <v>45</v>
      </c>
      <c r="E819" t="s">
        <v>3024</v>
      </c>
      <c r="F819" t="s">
        <v>47</v>
      </c>
      <c r="G819">
        <v>4</v>
      </c>
      <c r="H819">
        <v>598.19000000000005</v>
      </c>
      <c r="I819" t="s">
        <v>3025</v>
      </c>
      <c r="J819" t="s">
        <v>39</v>
      </c>
      <c r="K819" t="s">
        <v>57</v>
      </c>
      <c r="L819" t="s">
        <v>3026</v>
      </c>
      <c r="M819">
        <v>7</v>
      </c>
      <c r="N819" t="s">
        <v>88</v>
      </c>
      <c r="O819" t="s">
        <v>43</v>
      </c>
      <c r="P819">
        <v>2392.7600000000002</v>
      </c>
      <c r="Q819">
        <v>2392.7600000000002</v>
      </c>
      <c r="R819" t="str">
        <f>IF(OR(P819&lt;Outliers!$B$5, P819&gt;Outliers!$B$6), "outliers", "")</f>
        <v/>
      </c>
    </row>
    <row r="820" spans="1:18" x14ac:dyDescent="0.25">
      <c r="A820" t="s">
        <v>3027</v>
      </c>
      <c r="B820" s="1">
        <v>44987</v>
      </c>
      <c r="C820">
        <v>2023</v>
      </c>
      <c r="D820" t="s">
        <v>18</v>
      </c>
      <c r="E820" t="s">
        <v>3028</v>
      </c>
      <c r="F820" t="s">
        <v>30</v>
      </c>
      <c r="G820">
        <v>4</v>
      </c>
      <c r="H820">
        <v>390.84</v>
      </c>
      <c r="I820" t="s">
        <v>2526</v>
      </c>
      <c r="J820" t="s">
        <v>39</v>
      </c>
      <c r="K820" t="s">
        <v>40</v>
      </c>
      <c r="L820" t="s">
        <v>3029</v>
      </c>
      <c r="M820">
        <v>9</v>
      </c>
      <c r="N820" t="s">
        <v>88</v>
      </c>
      <c r="O820" t="s">
        <v>34</v>
      </c>
      <c r="P820">
        <v>1563.36</v>
      </c>
      <c r="Q820">
        <v>1563.36</v>
      </c>
      <c r="R820" t="str">
        <f>IF(OR(P820&lt;Outliers!$B$5, P820&gt;Outliers!$B$6), "outliers", "")</f>
        <v/>
      </c>
    </row>
    <row r="821" spans="1:18" x14ac:dyDescent="0.25">
      <c r="A821" t="s">
        <v>3030</v>
      </c>
      <c r="B821" s="1">
        <v>45563</v>
      </c>
      <c r="C821">
        <v>2024</v>
      </c>
      <c r="D821" t="s">
        <v>28</v>
      </c>
      <c r="E821" t="s">
        <v>3031</v>
      </c>
      <c r="F821" t="s">
        <v>30</v>
      </c>
      <c r="G821">
        <v>2</v>
      </c>
      <c r="H821">
        <v>398.45</v>
      </c>
      <c r="I821" t="s">
        <v>3032</v>
      </c>
      <c r="J821" t="s">
        <v>22</v>
      </c>
      <c r="K821" t="s">
        <v>40</v>
      </c>
      <c r="L821" t="s">
        <v>3033</v>
      </c>
      <c r="M821">
        <v>7</v>
      </c>
      <c r="N821" t="s">
        <v>25</v>
      </c>
      <c r="O821" t="s">
        <v>83</v>
      </c>
      <c r="P821">
        <v>796.9</v>
      </c>
      <c r="Q821">
        <v>796.9</v>
      </c>
      <c r="R821" t="str">
        <f>IF(OR(P821&lt;Outliers!$B$5, P821&gt;Outliers!$B$6), "outliers", "")</f>
        <v/>
      </c>
    </row>
    <row r="822" spans="1:18" x14ac:dyDescent="0.25">
      <c r="A822" t="s">
        <v>3034</v>
      </c>
      <c r="B822" s="1">
        <v>45073</v>
      </c>
      <c r="C822">
        <v>2023</v>
      </c>
      <c r="D822" t="s">
        <v>53</v>
      </c>
      <c r="E822" t="s">
        <v>3035</v>
      </c>
      <c r="F822" t="s">
        <v>30</v>
      </c>
      <c r="G822">
        <v>5</v>
      </c>
      <c r="H822">
        <v>623.80999999999995</v>
      </c>
      <c r="I822" t="s">
        <v>1403</v>
      </c>
      <c r="J822" t="s">
        <v>72</v>
      </c>
      <c r="K822" t="s">
        <v>49</v>
      </c>
      <c r="L822" t="s">
        <v>3036</v>
      </c>
      <c r="M822">
        <v>6</v>
      </c>
      <c r="N822" t="s">
        <v>42</v>
      </c>
      <c r="O822" t="s">
        <v>43</v>
      </c>
      <c r="P822">
        <v>3119.05</v>
      </c>
      <c r="Q822">
        <v>3119.05</v>
      </c>
      <c r="R822" t="str">
        <f>IF(OR(P822&lt;Outliers!$B$5, P822&gt;Outliers!$B$6), "outliers", "")</f>
        <v/>
      </c>
    </row>
    <row r="823" spans="1:18" x14ac:dyDescent="0.25">
      <c r="A823" t="s">
        <v>3037</v>
      </c>
      <c r="B823" s="1">
        <v>45640</v>
      </c>
      <c r="C823">
        <v>2024</v>
      </c>
      <c r="D823" t="s">
        <v>45</v>
      </c>
      <c r="E823" t="s">
        <v>3038</v>
      </c>
      <c r="F823" t="s">
        <v>65</v>
      </c>
      <c r="G823">
        <v>4</v>
      </c>
      <c r="H823">
        <v>174.49</v>
      </c>
      <c r="I823" t="s">
        <v>1371</v>
      </c>
      <c r="J823" t="s">
        <v>39</v>
      </c>
      <c r="K823" t="s">
        <v>57</v>
      </c>
      <c r="L823" t="s">
        <v>3039</v>
      </c>
      <c r="M823">
        <v>5</v>
      </c>
      <c r="N823" t="s">
        <v>25</v>
      </c>
      <c r="O823" t="s">
        <v>51</v>
      </c>
      <c r="P823">
        <v>697.96</v>
      </c>
      <c r="Q823">
        <v>697.96</v>
      </c>
      <c r="R823" t="str">
        <f>IF(OR(P823&lt;Outliers!$B$5, P823&gt;Outliers!$B$6), "outliers", "")</f>
        <v/>
      </c>
    </row>
    <row r="824" spans="1:18" x14ac:dyDescent="0.25">
      <c r="A824" t="s">
        <v>3040</v>
      </c>
      <c r="B824" s="1">
        <v>45731</v>
      </c>
      <c r="C824">
        <v>2025</v>
      </c>
      <c r="D824" t="s">
        <v>18</v>
      </c>
      <c r="E824" t="s">
        <v>3041</v>
      </c>
      <c r="F824" t="s">
        <v>30</v>
      </c>
      <c r="G824">
        <v>1</v>
      </c>
      <c r="H824">
        <v>479.56</v>
      </c>
      <c r="I824" t="s">
        <v>327</v>
      </c>
      <c r="J824" t="s">
        <v>67</v>
      </c>
      <c r="K824" t="s">
        <v>49</v>
      </c>
      <c r="L824" t="s">
        <v>3042</v>
      </c>
      <c r="M824">
        <v>1</v>
      </c>
      <c r="N824" t="s">
        <v>25</v>
      </c>
      <c r="O824" t="s">
        <v>83</v>
      </c>
      <c r="P824">
        <v>479.56</v>
      </c>
      <c r="Q824">
        <v>479.56</v>
      </c>
      <c r="R824" t="str">
        <f>IF(OR(P824&lt;Outliers!$B$5, P824&gt;Outliers!$B$6), "outliers", "")</f>
        <v/>
      </c>
    </row>
    <row r="825" spans="1:18" x14ac:dyDescent="0.25">
      <c r="A825" t="s">
        <v>3043</v>
      </c>
      <c r="B825" s="1">
        <v>45572</v>
      </c>
      <c r="C825">
        <v>2024</v>
      </c>
      <c r="D825" t="s">
        <v>45</v>
      </c>
      <c r="E825" t="s">
        <v>3044</v>
      </c>
      <c r="F825" t="s">
        <v>65</v>
      </c>
      <c r="G825">
        <v>4</v>
      </c>
      <c r="H825">
        <v>653.13</v>
      </c>
      <c r="I825" t="s">
        <v>3045</v>
      </c>
      <c r="J825" t="s">
        <v>39</v>
      </c>
      <c r="K825" t="s">
        <v>23</v>
      </c>
      <c r="L825" t="s">
        <v>3046</v>
      </c>
      <c r="M825">
        <v>8</v>
      </c>
      <c r="N825" t="s">
        <v>88</v>
      </c>
      <c r="O825" t="s">
        <v>26</v>
      </c>
      <c r="P825">
        <v>2612.52</v>
      </c>
      <c r="Q825">
        <v>2612.52</v>
      </c>
      <c r="R825" t="str">
        <f>IF(OR(P825&lt;Outliers!$B$5, P825&gt;Outliers!$B$6), "outliers", "")</f>
        <v/>
      </c>
    </row>
    <row r="826" spans="1:18" x14ac:dyDescent="0.25">
      <c r="A826" t="s">
        <v>3047</v>
      </c>
      <c r="B826" s="1">
        <v>45167</v>
      </c>
      <c r="C826">
        <v>2023</v>
      </c>
      <c r="D826" t="s">
        <v>28</v>
      </c>
      <c r="E826" t="s">
        <v>3048</v>
      </c>
      <c r="F826" t="s">
        <v>20</v>
      </c>
      <c r="G826">
        <v>3</v>
      </c>
      <c r="H826">
        <v>481.1</v>
      </c>
      <c r="I826" t="s">
        <v>3049</v>
      </c>
      <c r="J826" t="s">
        <v>39</v>
      </c>
      <c r="K826" t="s">
        <v>49</v>
      </c>
      <c r="L826" t="s">
        <v>3050</v>
      </c>
      <c r="M826">
        <v>3</v>
      </c>
      <c r="N826" t="s">
        <v>42</v>
      </c>
      <c r="O826" t="s">
        <v>51</v>
      </c>
      <c r="P826">
        <v>1443.3</v>
      </c>
      <c r="Q826">
        <v>1443.3</v>
      </c>
      <c r="R826" t="str">
        <f>IF(OR(P826&lt;Outliers!$B$5, P826&gt;Outliers!$B$6), "outliers", "")</f>
        <v/>
      </c>
    </row>
    <row r="827" spans="1:18" x14ac:dyDescent="0.25">
      <c r="A827" t="s">
        <v>3051</v>
      </c>
      <c r="B827" s="1">
        <v>45742</v>
      </c>
      <c r="C827">
        <v>2025</v>
      </c>
      <c r="D827" t="s">
        <v>18</v>
      </c>
      <c r="E827" t="s">
        <v>3052</v>
      </c>
      <c r="F827" t="s">
        <v>80</v>
      </c>
      <c r="G827">
        <v>5</v>
      </c>
      <c r="H827">
        <v>271.69</v>
      </c>
      <c r="I827" t="s">
        <v>3053</v>
      </c>
      <c r="J827" t="s">
        <v>32</v>
      </c>
      <c r="K827" t="s">
        <v>49</v>
      </c>
      <c r="L827" t="s">
        <v>3054</v>
      </c>
      <c r="M827">
        <v>7</v>
      </c>
      <c r="N827" t="s">
        <v>42</v>
      </c>
      <c r="O827" t="s">
        <v>26</v>
      </c>
      <c r="P827">
        <v>1358.45</v>
      </c>
      <c r="Q827">
        <v>1358.45</v>
      </c>
      <c r="R827" t="str">
        <f>IF(OR(P827&lt;Outliers!$B$5, P827&gt;Outliers!$B$6), "outliers", "")</f>
        <v/>
      </c>
    </row>
    <row r="828" spans="1:18" x14ac:dyDescent="0.25">
      <c r="A828" t="s">
        <v>3055</v>
      </c>
      <c r="B828" s="1">
        <v>45724</v>
      </c>
      <c r="C828">
        <v>2025</v>
      </c>
      <c r="D828" t="s">
        <v>18</v>
      </c>
      <c r="E828" t="s">
        <v>3056</v>
      </c>
      <c r="F828" t="s">
        <v>55</v>
      </c>
      <c r="G828">
        <v>3</v>
      </c>
      <c r="H828">
        <v>463.81</v>
      </c>
      <c r="I828" t="s">
        <v>742</v>
      </c>
      <c r="J828" t="s">
        <v>32</v>
      </c>
      <c r="K828" t="s">
        <v>49</v>
      </c>
      <c r="L828" t="s">
        <v>3057</v>
      </c>
      <c r="M828">
        <v>8</v>
      </c>
      <c r="N828" t="s">
        <v>88</v>
      </c>
      <c r="O828" t="s">
        <v>43</v>
      </c>
      <c r="P828">
        <v>1391.43</v>
      </c>
      <c r="Q828">
        <v>1391.43</v>
      </c>
      <c r="R828" t="str">
        <f>IF(OR(P828&lt;Outliers!$B$5, P828&gt;Outliers!$B$6), "outliers", "")</f>
        <v/>
      </c>
    </row>
    <row r="829" spans="1:18" x14ac:dyDescent="0.25">
      <c r="A829" t="s">
        <v>3058</v>
      </c>
      <c r="B829" s="1">
        <v>45071</v>
      </c>
      <c r="C829">
        <v>2023</v>
      </c>
      <c r="D829" t="s">
        <v>53</v>
      </c>
      <c r="E829" t="s">
        <v>3059</v>
      </c>
      <c r="F829" t="s">
        <v>37</v>
      </c>
      <c r="G829">
        <v>2</v>
      </c>
      <c r="H829">
        <v>639.88</v>
      </c>
      <c r="I829" t="s">
        <v>880</v>
      </c>
      <c r="J829" t="s">
        <v>72</v>
      </c>
      <c r="K829" t="s">
        <v>57</v>
      </c>
      <c r="L829" t="s">
        <v>3060</v>
      </c>
      <c r="M829">
        <v>5</v>
      </c>
      <c r="N829" t="s">
        <v>88</v>
      </c>
      <c r="O829" t="s">
        <v>26</v>
      </c>
      <c r="P829">
        <v>1279.76</v>
      </c>
      <c r="Q829">
        <v>1279.76</v>
      </c>
      <c r="R829" t="str">
        <f>IF(OR(P829&lt;Outliers!$B$5, P829&gt;Outliers!$B$6), "outliers", "")</f>
        <v/>
      </c>
    </row>
    <row r="830" spans="1:18" x14ac:dyDescent="0.25">
      <c r="A830" t="s">
        <v>3061</v>
      </c>
      <c r="B830" s="1">
        <v>45497</v>
      </c>
      <c r="C830">
        <v>2024</v>
      </c>
      <c r="D830" t="s">
        <v>28</v>
      </c>
      <c r="E830" t="s">
        <v>3062</v>
      </c>
      <c r="F830" t="s">
        <v>47</v>
      </c>
      <c r="G830">
        <v>4</v>
      </c>
      <c r="H830">
        <v>404.58</v>
      </c>
      <c r="I830" t="s">
        <v>3063</v>
      </c>
      <c r="J830" t="s">
        <v>72</v>
      </c>
      <c r="K830" t="s">
        <v>23</v>
      </c>
      <c r="L830" t="s">
        <v>3064</v>
      </c>
      <c r="M830">
        <v>5</v>
      </c>
      <c r="N830" t="s">
        <v>42</v>
      </c>
      <c r="O830" t="s">
        <v>26</v>
      </c>
      <c r="P830">
        <v>1618.32</v>
      </c>
      <c r="Q830">
        <v>1618.32</v>
      </c>
      <c r="R830" t="str">
        <f>IF(OR(P830&lt;Outliers!$B$5, P830&gt;Outliers!$B$6), "outliers", "")</f>
        <v/>
      </c>
    </row>
    <row r="831" spans="1:18" x14ac:dyDescent="0.25">
      <c r="A831" t="s">
        <v>3065</v>
      </c>
      <c r="B831" s="1">
        <v>44962</v>
      </c>
      <c r="C831">
        <v>2023</v>
      </c>
      <c r="D831" t="s">
        <v>18</v>
      </c>
      <c r="E831" t="s">
        <v>3066</v>
      </c>
      <c r="F831" t="s">
        <v>20</v>
      </c>
      <c r="G831">
        <v>1</v>
      </c>
      <c r="H831">
        <v>76.930000000000007</v>
      </c>
      <c r="I831" t="s">
        <v>3067</v>
      </c>
      <c r="J831" t="s">
        <v>22</v>
      </c>
      <c r="K831" t="s">
        <v>57</v>
      </c>
      <c r="L831" t="s">
        <v>3068</v>
      </c>
      <c r="M831">
        <v>6</v>
      </c>
      <c r="N831" t="s">
        <v>88</v>
      </c>
      <c r="O831" t="s">
        <v>26</v>
      </c>
      <c r="P831">
        <v>76.930000000000007</v>
      </c>
      <c r="Q831">
        <v>76.930000000000007</v>
      </c>
      <c r="R831" t="str">
        <f>IF(OR(P831&lt;Outliers!$B$5, P831&gt;Outliers!$B$6), "outliers", "")</f>
        <v/>
      </c>
    </row>
    <row r="832" spans="1:18" x14ac:dyDescent="0.25">
      <c r="A832" t="s">
        <v>3069</v>
      </c>
      <c r="B832" s="1">
        <v>45637</v>
      </c>
      <c r="C832">
        <v>2024</v>
      </c>
      <c r="D832" t="s">
        <v>45</v>
      </c>
      <c r="E832" t="s">
        <v>3070</v>
      </c>
      <c r="F832" t="s">
        <v>37</v>
      </c>
      <c r="G832">
        <v>4</v>
      </c>
      <c r="H832">
        <v>190.64</v>
      </c>
      <c r="I832" t="s">
        <v>3071</v>
      </c>
      <c r="J832" t="s">
        <v>72</v>
      </c>
      <c r="K832" t="s">
        <v>57</v>
      </c>
      <c r="L832" t="s">
        <v>3072</v>
      </c>
      <c r="M832">
        <v>5</v>
      </c>
      <c r="N832" t="s">
        <v>25</v>
      </c>
      <c r="O832" t="s">
        <v>43</v>
      </c>
      <c r="P832">
        <v>762.56</v>
      </c>
      <c r="Q832">
        <v>762.56</v>
      </c>
      <c r="R832" t="str">
        <f>IF(OR(P832&lt;Outliers!$B$5, P832&gt;Outliers!$B$6), "outliers", "")</f>
        <v/>
      </c>
    </row>
    <row r="833" spans="1:18" x14ac:dyDescent="0.25">
      <c r="A833" t="s">
        <v>3073</v>
      </c>
      <c r="B833" s="1">
        <v>45278</v>
      </c>
      <c r="C833">
        <v>2023</v>
      </c>
      <c r="D833" t="s">
        <v>45</v>
      </c>
      <c r="E833" t="s">
        <v>3074</v>
      </c>
      <c r="F833" t="s">
        <v>55</v>
      </c>
      <c r="G833">
        <v>2</v>
      </c>
      <c r="H833">
        <v>88.73</v>
      </c>
      <c r="I833" t="s">
        <v>2378</v>
      </c>
      <c r="J833" t="s">
        <v>32</v>
      </c>
      <c r="K833" t="s">
        <v>96</v>
      </c>
      <c r="L833" t="s">
        <v>3075</v>
      </c>
      <c r="M833">
        <v>5</v>
      </c>
      <c r="O833" t="s">
        <v>83</v>
      </c>
      <c r="P833">
        <v>177.46</v>
      </c>
      <c r="Q833">
        <v>177.46</v>
      </c>
      <c r="R833" t="str">
        <f>IF(OR(P833&lt;Outliers!$B$5, P833&gt;Outliers!$B$6), "outliers", "")</f>
        <v/>
      </c>
    </row>
    <row r="834" spans="1:18" x14ac:dyDescent="0.25">
      <c r="A834" t="s">
        <v>3076</v>
      </c>
      <c r="B834" s="1">
        <v>45363</v>
      </c>
      <c r="C834">
        <v>2024</v>
      </c>
      <c r="D834" t="s">
        <v>18</v>
      </c>
      <c r="E834" t="s">
        <v>3077</v>
      </c>
      <c r="F834" t="s">
        <v>47</v>
      </c>
      <c r="G834">
        <v>5</v>
      </c>
      <c r="H834">
        <v>485.71</v>
      </c>
      <c r="I834" t="s">
        <v>100</v>
      </c>
      <c r="J834" t="s">
        <v>32</v>
      </c>
      <c r="K834" t="s">
        <v>96</v>
      </c>
      <c r="L834" t="s">
        <v>3078</v>
      </c>
      <c r="M834">
        <v>10</v>
      </c>
      <c r="N834" t="s">
        <v>25</v>
      </c>
      <c r="O834" t="s">
        <v>34</v>
      </c>
      <c r="P834">
        <v>2428.5500000000002</v>
      </c>
      <c r="Q834">
        <v>2428.5500000000002</v>
      </c>
      <c r="R834" t="str">
        <f>IF(OR(P834&lt;Outliers!$B$5, P834&gt;Outliers!$B$6), "outliers", "")</f>
        <v/>
      </c>
    </row>
    <row r="835" spans="1:18" x14ac:dyDescent="0.25">
      <c r="A835" t="s">
        <v>3079</v>
      </c>
      <c r="B835" s="1">
        <v>45730</v>
      </c>
      <c r="C835">
        <v>2025</v>
      </c>
      <c r="D835" t="s">
        <v>18</v>
      </c>
      <c r="E835" t="s">
        <v>3080</v>
      </c>
      <c r="F835" t="s">
        <v>30</v>
      </c>
      <c r="G835">
        <v>5</v>
      </c>
      <c r="H835">
        <v>78.290000000000006</v>
      </c>
      <c r="I835" t="s">
        <v>3081</v>
      </c>
      <c r="J835" t="s">
        <v>39</v>
      </c>
      <c r="K835" t="s">
        <v>23</v>
      </c>
      <c r="L835" t="s">
        <v>3082</v>
      </c>
      <c r="M835">
        <v>5</v>
      </c>
      <c r="N835" t="s">
        <v>88</v>
      </c>
      <c r="O835" t="s">
        <v>34</v>
      </c>
      <c r="P835">
        <v>391.45</v>
      </c>
      <c r="Q835">
        <v>391.45</v>
      </c>
      <c r="R835" t="str">
        <f>IF(OR(P835&lt;Outliers!$B$5, P835&gt;Outliers!$B$6), "outliers", "")</f>
        <v/>
      </c>
    </row>
    <row r="836" spans="1:18" x14ac:dyDescent="0.25">
      <c r="A836" t="s">
        <v>3083</v>
      </c>
      <c r="B836" s="1">
        <v>45393</v>
      </c>
      <c r="C836">
        <v>2024</v>
      </c>
      <c r="D836" t="s">
        <v>53</v>
      </c>
      <c r="E836" t="s">
        <v>3084</v>
      </c>
      <c r="F836" t="s">
        <v>55</v>
      </c>
      <c r="G836">
        <v>5</v>
      </c>
      <c r="H836">
        <v>22.14</v>
      </c>
      <c r="I836" t="s">
        <v>971</v>
      </c>
      <c r="J836" t="s">
        <v>72</v>
      </c>
      <c r="K836" t="s">
        <v>49</v>
      </c>
      <c r="L836" t="s">
        <v>3085</v>
      </c>
      <c r="M836">
        <v>10</v>
      </c>
      <c r="O836" t="s">
        <v>26</v>
      </c>
      <c r="P836">
        <v>110.7</v>
      </c>
      <c r="Q836">
        <v>110.7</v>
      </c>
      <c r="R836" t="str">
        <f>IF(OR(P836&lt;Outliers!$B$5, P836&gt;Outliers!$B$6), "outliers", "")</f>
        <v/>
      </c>
    </row>
    <row r="837" spans="1:18" x14ac:dyDescent="0.25">
      <c r="A837" t="s">
        <v>3086</v>
      </c>
      <c r="B837" s="1">
        <v>45377</v>
      </c>
      <c r="C837">
        <v>2024</v>
      </c>
      <c r="D837" t="s">
        <v>18</v>
      </c>
      <c r="E837" t="s">
        <v>3087</v>
      </c>
      <c r="F837" t="s">
        <v>80</v>
      </c>
      <c r="G837">
        <v>1</v>
      </c>
      <c r="H837">
        <v>679.65</v>
      </c>
      <c r="I837" t="s">
        <v>3088</v>
      </c>
      <c r="J837" t="s">
        <v>22</v>
      </c>
      <c r="K837" t="s">
        <v>23</v>
      </c>
      <c r="L837" t="s">
        <v>3089</v>
      </c>
      <c r="M837">
        <v>6</v>
      </c>
      <c r="N837" t="s">
        <v>42</v>
      </c>
      <c r="O837" t="s">
        <v>83</v>
      </c>
      <c r="P837">
        <v>679.65</v>
      </c>
      <c r="Q837">
        <v>679.65</v>
      </c>
      <c r="R837" t="str">
        <f>IF(OR(P837&lt;Outliers!$B$5, P837&gt;Outliers!$B$6), "outliers", "")</f>
        <v/>
      </c>
    </row>
    <row r="838" spans="1:18" x14ac:dyDescent="0.25">
      <c r="A838" t="s">
        <v>3090</v>
      </c>
      <c r="B838" s="1">
        <v>44959</v>
      </c>
      <c r="C838">
        <v>2023</v>
      </c>
      <c r="D838" t="s">
        <v>18</v>
      </c>
      <c r="E838" t="s">
        <v>3091</v>
      </c>
      <c r="F838" t="s">
        <v>30</v>
      </c>
      <c r="G838">
        <v>1</v>
      </c>
      <c r="H838">
        <v>178.44</v>
      </c>
      <c r="I838" t="s">
        <v>2453</v>
      </c>
      <c r="J838" t="s">
        <v>39</v>
      </c>
      <c r="K838" t="s">
        <v>40</v>
      </c>
      <c r="L838" t="s">
        <v>3092</v>
      </c>
      <c r="M838">
        <v>2</v>
      </c>
      <c r="N838" t="s">
        <v>42</v>
      </c>
      <c r="O838" t="s">
        <v>83</v>
      </c>
      <c r="P838">
        <v>178.44</v>
      </c>
      <c r="Q838">
        <v>178.44</v>
      </c>
      <c r="R838" t="str">
        <f>IF(OR(P838&lt;Outliers!$B$5, P838&gt;Outliers!$B$6), "outliers", "")</f>
        <v/>
      </c>
    </row>
    <row r="839" spans="1:18" x14ac:dyDescent="0.25">
      <c r="A839" t="s">
        <v>3093</v>
      </c>
      <c r="B839" s="1">
        <v>45822</v>
      </c>
      <c r="C839">
        <v>2025</v>
      </c>
      <c r="D839" t="s">
        <v>53</v>
      </c>
      <c r="E839" t="s">
        <v>3094</v>
      </c>
      <c r="F839" t="s">
        <v>47</v>
      </c>
      <c r="G839">
        <v>5</v>
      </c>
      <c r="H839">
        <v>655.55</v>
      </c>
      <c r="I839" t="s">
        <v>2297</v>
      </c>
      <c r="J839" t="s">
        <v>32</v>
      </c>
      <c r="K839" t="s">
        <v>57</v>
      </c>
      <c r="L839" t="s">
        <v>3095</v>
      </c>
      <c r="M839">
        <v>5</v>
      </c>
      <c r="O839" t="s">
        <v>43</v>
      </c>
      <c r="P839">
        <v>3277.75</v>
      </c>
      <c r="Q839">
        <v>3277.75</v>
      </c>
      <c r="R839" t="str">
        <f>IF(OR(P839&lt;Outliers!$B$5, P839&gt;Outliers!$B$6), "outliers", "")</f>
        <v/>
      </c>
    </row>
    <row r="840" spans="1:18" x14ac:dyDescent="0.25">
      <c r="A840" t="s">
        <v>3096</v>
      </c>
      <c r="B840" s="1">
        <v>45393</v>
      </c>
      <c r="C840">
        <v>2024</v>
      </c>
      <c r="D840" t="s">
        <v>53</v>
      </c>
      <c r="E840" t="s">
        <v>3097</v>
      </c>
      <c r="F840" t="s">
        <v>80</v>
      </c>
      <c r="G840">
        <v>4</v>
      </c>
      <c r="H840">
        <v>577.08000000000004</v>
      </c>
      <c r="I840" t="s">
        <v>323</v>
      </c>
      <c r="J840" t="s">
        <v>32</v>
      </c>
      <c r="K840" t="s">
        <v>96</v>
      </c>
      <c r="L840" t="s">
        <v>3098</v>
      </c>
      <c r="M840">
        <v>8</v>
      </c>
      <c r="O840" t="s">
        <v>51</v>
      </c>
      <c r="P840">
        <v>2308.3200000000002</v>
      </c>
      <c r="Q840">
        <v>2308.3200000000002</v>
      </c>
      <c r="R840" t="str">
        <f>IF(OR(P840&lt;Outliers!$B$5, P840&gt;Outliers!$B$6), "outliers", "")</f>
        <v/>
      </c>
    </row>
    <row r="841" spans="1:18" x14ac:dyDescent="0.25">
      <c r="A841" t="s">
        <v>3099</v>
      </c>
      <c r="B841" s="1">
        <v>45162</v>
      </c>
      <c r="C841">
        <v>2023</v>
      </c>
      <c r="D841" t="s">
        <v>28</v>
      </c>
      <c r="E841" t="s">
        <v>3100</v>
      </c>
      <c r="F841" t="s">
        <v>47</v>
      </c>
      <c r="G841">
        <v>3</v>
      </c>
      <c r="H841">
        <v>197.97</v>
      </c>
      <c r="I841" t="s">
        <v>2775</v>
      </c>
      <c r="J841" t="s">
        <v>32</v>
      </c>
      <c r="K841" t="s">
        <v>40</v>
      </c>
      <c r="L841" t="s">
        <v>3101</v>
      </c>
      <c r="M841">
        <v>5</v>
      </c>
      <c r="O841" t="s">
        <v>83</v>
      </c>
      <c r="P841">
        <v>593.91</v>
      </c>
      <c r="Q841">
        <v>593.91</v>
      </c>
      <c r="R841" t="str">
        <f>IF(OR(P841&lt;Outliers!$B$5, P841&gt;Outliers!$B$6), "outliers", "")</f>
        <v/>
      </c>
    </row>
    <row r="842" spans="1:18" x14ac:dyDescent="0.25">
      <c r="A842" t="s">
        <v>3102</v>
      </c>
      <c r="B842" s="1">
        <v>45305</v>
      </c>
      <c r="C842">
        <v>2024</v>
      </c>
      <c r="D842" t="s">
        <v>18</v>
      </c>
      <c r="E842" t="s">
        <v>3103</v>
      </c>
      <c r="F842" t="s">
        <v>47</v>
      </c>
      <c r="G842">
        <v>3</v>
      </c>
      <c r="H842">
        <v>411.95</v>
      </c>
      <c r="I842" t="s">
        <v>1822</v>
      </c>
      <c r="J842" t="s">
        <v>39</v>
      </c>
      <c r="K842" t="s">
        <v>57</v>
      </c>
      <c r="L842" t="s">
        <v>3104</v>
      </c>
      <c r="M842">
        <v>7</v>
      </c>
      <c r="N842" t="s">
        <v>42</v>
      </c>
      <c r="O842" t="s">
        <v>34</v>
      </c>
      <c r="P842">
        <v>1235.8499999999999</v>
      </c>
      <c r="Q842">
        <v>1235.8499999999999</v>
      </c>
      <c r="R842" t="str">
        <f>IF(OR(P842&lt;Outliers!$B$5, P842&gt;Outliers!$B$6), "outliers", "")</f>
        <v/>
      </c>
    </row>
    <row r="843" spans="1:18" x14ac:dyDescent="0.25">
      <c r="A843" t="s">
        <v>3105</v>
      </c>
      <c r="B843" s="1">
        <v>45554</v>
      </c>
      <c r="C843">
        <v>2024</v>
      </c>
      <c r="D843" t="s">
        <v>28</v>
      </c>
      <c r="E843" t="s">
        <v>3106</v>
      </c>
      <c r="F843" t="s">
        <v>55</v>
      </c>
      <c r="G843">
        <v>2</v>
      </c>
      <c r="H843">
        <v>443.22</v>
      </c>
      <c r="I843" t="s">
        <v>3107</v>
      </c>
      <c r="J843" t="s">
        <v>39</v>
      </c>
      <c r="K843" t="s">
        <v>57</v>
      </c>
      <c r="L843" t="s">
        <v>3108</v>
      </c>
      <c r="M843">
        <v>5</v>
      </c>
      <c r="O843" t="s">
        <v>51</v>
      </c>
      <c r="P843">
        <v>886.44</v>
      </c>
      <c r="Q843">
        <v>886.44</v>
      </c>
      <c r="R843" t="str">
        <f>IF(OR(P843&lt;Outliers!$B$5, P843&gt;Outliers!$B$6), "outliers", "")</f>
        <v/>
      </c>
    </row>
    <row r="844" spans="1:18" x14ac:dyDescent="0.25">
      <c r="A844" t="s">
        <v>3109</v>
      </c>
      <c r="B844" s="1">
        <v>45784</v>
      </c>
      <c r="C844">
        <v>2025</v>
      </c>
      <c r="D844" t="s">
        <v>53</v>
      </c>
      <c r="E844" t="s">
        <v>3110</v>
      </c>
      <c r="F844" t="s">
        <v>65</v>
      </c>
      <c r="G844">
        <v>3</v>
      </c>
      <c r="H844">
        <v>364.14</v>
      </c>
      <c r="I844" t="s">
        <v>2586</v>
      </c>
      <c r="J844" t="s">
        <v>32</v>
      </c>
      <c r="K844" t="s">
        <v>96</v>
      </c>
      <c r="L844" t="s">
        <v>3111</v>
      </c>
      <c r="M844">
        <v>7</v>
      </c>
      <c r="N844" t="s">
        <v>88</v>
      </c>
      <c r="O844" t="s">
        <v>34</v>
      </c>
      <c r="P844">
        <v>1092.42</v>
      </c>
      <c r="Q844">
        <v>1092.42</v>
      </c>
      <c r="R844" t="str">
        <f>IF(OR(P844&lt;Outliers!$B$5, P844&gt;Outliers!$B$6), "outliers", "")</f>
        <v/>
      </c>
    </row>
    <row r="845" spans="1:18" x14ac:dyDescent="0.25">
      <c r="A845" t="s">
        <v>3112</v>
      </c>
      <c r="B845" s="1">
        <v>45790</v>
      </c>
      <c r="C845">
        <v>2025</v>
      </c>
      <c r="D845" t="s">
        <v>53</v>
      </c>
      <c r="E845" t="s">
        <v>3113</v>
      </c>
      <c r="F845" t="s">
        <v>80</v>
      </c>
      <c r="G845">
        <v>3</v>
      </c>
      <c r="H845">
        <v>430.06</v>
      </c>
      <c r="I845" t="s">
        <v>3114</v>
      </c>
      <c r="J845" t="s">
        <v>67</v>
      </c>
      <c r="K845" t="s">
        <v>40</v>
      </c>
      <c r="L845" t="s">
        <v>3115</v>
      </c>
      <c r="M845">
        <v>8</v>
      </c>
      <c r="N845" t="s">
        <v>42</v>
      </c>
      <c r="O845" t="s">
        <v>26</v>
      </c>
      <c r="P845">
        <v>1290.18</v>
      </c>
      <c r="Q845">
        <v>1290.18</v>
      </c>
      <c r="R845" t="str">
        <f>IF(OR(P845&lt;Outliers!$B$5, P845&gt;Outliers!$B$6), "outliers", "")</f>
        <v/>
      </c>
    </row>
    <row r="846" spans="1:18" x14ac:dyDescent="0.25">
      <c r="A846" t="s">
        <v>3116</v>
      </c>
      <c r="B846" s="1">
        <v>45630</v>
      </c>
      <c r="C846">
        <v>2024</v>
      </c>
      <c r="D846" t="s">
        <v>45</v>
      </c>
      <c r="E846" t="s">
        <v>3117</v>
      </c>
      <c r="F846" t="s">
        <v>47</v>
      </c>
      <c r="G846">
        <v>1</v>
      </c>
      <c r="H846">
        <v>320.92</v>
      </c>
      <c r="I846" t="s">
        <v>3118</v>
      </c>
      <c r="J846" t="s">
        <v>32</v>
      </c>
      <c r="K846" t="s">
        <v>49</v>
      </c>
      <c r="L846" t="s">
        <v>3119</v>
      </c>
      <c r="M846">
        <v>5</v>
      </c>
      <c r="N846" t="s">
        <v>42</v>
      </c>
      <c r="O846" t="s">
        <v>51</v>
      </c>
      <c r="P846">
        <v>320.92</v>
      </c>
      <c r="Q846">
        <v>320.92</v>
      </c>
      <c r="R846" t="str">
        <f>IF(OR(P846&lt;Outliers!$B$5, P846&gt;Outliers!$B$6), "outliers", "")</f>
        <v/>
      </c>
    </row>
    <row r="847" spans="1:18" x14ac:dyDescent="0.25">
      <c r="A847" t="s">
        <v>3120</v>
      </c>
      <c r="B847" s="1">
        <v>45207</v>
      </c>
      <c r="C847">
        <v>2023</v>
      </c>
      <c r="D847" t="s">
        <v>45</v>
      </c>
      <c r="E847" t="s">
        <v>3121</v>
      </c>
      <c r="F847" t="s">
        <v>30</v>
      </c>
      <c r="G847">
        <v>3</v>
      </c>
      <c r="H847">
        <v>107.36</v>
      </c>
      <c r="I847" t="s">
        <v>3122</v>
      </c>
      <c r="J847" t="s">
        <v>67</v>
      </c>
      <c r="K847" t="s">
        <v>57</v>
      </c>
      <c r="L847" t="s">
        <v>3123</v>
      </c>
      <c r="M847">
        <v>5</v>
      </c>
      <c r="N847" t="s">
        <v>42</v>
      </c>
      <c r="O847" t="s">
        <v>83</v>
      </c>
      <c r="P847">
        <v>322.08</v>
      </c>
      <c r="Q847">
        <v>322.08</v>
      </c>
      <c r="R847" t="str">
        <f>IF(OR(P847&lt;Outliers!$B$5, P847&gt;Outliers!$B$6), "outliers", "")</f>
        <v/>
      </c>
    </row>
    <row r="848" spans="1:18" x14ac:dyDescent="0.25">
      <c r="A848" t="s">
        <v>3124</v>
      </c>
      <c r="B848" s="1">
        <v>45477</v>
      </c>
      <c r="C848">
        <v>2024</v>
      </c>
      <c r="D848" t="s">
        <v>28</v>
      </c>
      <c r="E848" t="s">
        <v>3125</v>
      </c>
      <c r="F848" t="s">
        <v>80</v>
      </c>
      <c r="G848">
        <v>2</v>
      </c>
      <c r="H848">
        <v>359.86</v>
      </c>
      <c r="I848" t="s">
        <v>3126</v>
      </c>
      <c r="J848" t="s">
        <v>22</v>
      </c>
      <c r="K848" t="s">
        <v>40</v>
      </c>
      <c r="L848" t="s">
        <v>3127</v>
      </c>
      <c r="M848">
        <v>4</v>
      </c>
      <c r="O848" t="s">
        <v>34</v>
      </c>
      <c r="P848">
        <v>719.72</v>
      </c>
      <c r="Q848">
        <v>719.72</v>
      </c>
      <c r="R848" t="str">
        <f>IF(OR(P848&lt;Outliers!$B$5, P848&gt;Outliers!$B$6), "outliers", "")</f>
        <v/>
      </c>
    </row>
    <row r="849" spans="1:18" x14ac:dyDescent="0.25">
      <c r="A849" t="s">
        <v>3128</v>
      </c>
      <c r="B849" s="1">
        <v>45614</v>
      </c>
      <c r="C849">
        <v>2024</v>
      </c>
      <c r="D849" t="s">
        <v>45</v>
      </c>
      <c r="E849" t="s">
        <v>3129</v>
      </c>
      <c r="F849" t="s">
        <v>55</v>
      </c>
      <c r="G849">
        <v>4</v>
      </c>
      <c r="H849">
        <v>434.23</v>
      </c>
      <c r="I849" t="s">
        <v>1168</v>
      </c>
      <c r="J849" t="s">
        <v>32</v>
      </c>
      <c r="K849" t="s">
        <v>23</v>
      </c>
      <c r="L849" t="s">
        <v>3130</v>
      </c>
      <c r="M849">
        <v>8</v>
      </c>
      <c r="N849" t="s">
        <v>42</v>
      </c>
      <c r="O849" t="s">
        <v>43</v>
      </c>
      <c r="P849">
        <v>1736.92</v>
      </c>
      <c r="Q849">
        <v>1736.92</v>
      </c>
      <c r="R849" t="str">
        <f>IF(OR(P849&lt;Outliers!$B$5, P849&gt;Outliers!$B$6), "outliers", "")</f>
        <v/>
      </c>
    </row>
    <row r="850" spans="1:18" x14ac:dyDescent="0.25">
      <c r="A850" t="s">
        <v>3131</v>
      </c>
      <c r="B850" s="1">
        <v>44927</v>
      </c>
      <c r="C850">
        <v>2023</v>
      </c>
      <c r="D850" t="s">
        <v>18</v>
      </c>
      <c r="E850" t="s">
        <v>3132</v>
      </c>
      <c r="F850" t="s">
        <v>47</v>
      </c>
      <c r="G850">
        <v>2</v>
      </c>
      <c r="H850">
        <v>645.85</v>
      </c>
      <c r="I850" t="s">
        <v>284</v>
      </c>
      <c r="J850" t="s">
        <v>32</v>
      </c>
      <c r="K850" t="s">
        <v>23</v>
      </c>
      <c r="L850" t="s">
        <v>3133</v>
      </c>
      <c r="M850">
        <v>5</v>
      </c>
      <c r="O850" t="s">
        <v>34</v>
      </c>
      <c r="P850">
        <v>1291.7</v>
      </c>
      <c r="Q850">
        <v>1291.7</v>
      </c>
      <c r="R850" t="str">
        <f>IF(OR(P850&lt;Outliers!$B$5, P850&gt;Outliers!$B$6), "outliers", "")</f>
        <v/>
      </c>
    </row>
    <row r="851" spans="1:18" x14ac:dyDescent="0.25">
      <c r="A851" t="s">
        <v>3134</v>
      </c>
      <c r="B851" s="1">
        <v>45817</v>
      </c>
      <c r="C851">
        <v>2025</v>
      </c>
      <c r="D851" t="s">
        <v>53</v>
      </c>
      <c r="E851" t="s">
        <v>3135</v>
      </c>
      <c r="F851" t="s">
        <v>55</v>
      </c>
      <c r="G851">
        <v>4</v>
      </c>
      <c r="H851">
        <v>214.35</v>
      </c>
      <c r="I851" t="s">
        <v>3049</v>
      </c>
      <c r="J851" t="s">
        <v>22</v>
      </c>
      <c r="K851" t="s">
        <v>40</v>
      </c>
      <c r="L851" t="s">
        <v>3136</v>
      </c>
      <c r="M851">
        <v>7</v>
      </c>
      <c r="N851" t="s">
        <v>88</v>
      </c>
      <c r="O851" t="s">
        <v>34</v>
      </c>
      <c r="P851">
        <v>857.4</v>
      </c>
      <c r="Q851">
        <v>857.4</v>
      </c>
      <c r="R851" t="str">
        <f>IF(OR(P851&lt;Outliers!$B$5, P851&gt;Outliers!$B$6), "outliers", "")</f>
        <v/>
      </c>
    </row>
    <row r="852" spans="1:18" x14ac:dyDescent="0.25">
      <c r="A852" t="s">
        <v>3137</v>
      </c>
      <c r="B852" s="1">
        <v>45774</v>
      </c>
      <c r="C852">
        <v>2025</v>
      </c>
      <c r="D852" t="s">
        <v>53</v>
      </c>
      <c r="E852" t="s">
        <v>3138</v>
      </c>
      <c r="F852" t="s">
        <v>20</v>
      </c>
      <c r="G852">
        <v>3</v>
      </c>
      <c r="H852">
        <v>638.5</v>
      </c>
      <c r="I852" t="s">
        <v>2691</v>
      </c>
      <c r="J852" t="s">
        <v>22</v>
      </c>
      <c r="K852" t="s">
        <v>40</v>
      </c>
      <c r="L852" t="s">
        <v>3139</v>
      </c>
      <c r="M852">
        <v>4</v>
      </c>
      <c r="N852" t="s">
        <v>42</v>
      </c>
      <c r="O852" t="s">
        <v>26</v>
      </c>
      <c r="P852">
        <v>1915.5</v>
      </c>
      <c r="Q852">
        <v>1915.5</v>
      </c>
      <c r="R852" t="str">
        <f>IF(OR(P852&lt;Outliers!$B$5, P852&gt;Outliers!$B$6), "outliers", "")</f>
        <v/>
      </c>
    </row>
    <row r="853" spans="1:18" x14ac:dyDescent="0.25">
      <c r="A853" t="s">
        <v>3140</v>
      </c>
      <c r="B853" s="1">
        <v>45272</v>
      </c>
      <c r="C853">
        <v>2023</v>
      </c>
      <c r="D853" t="s">
        <v>45</v>
      </c>
      <c r="E853" t="s">
        <v>3141</v>
      </c>
      <c r="F853" t="s">
        <v>65</v>
      </c>
      <c r="G853">
        <v>1</v>
      </c>
      <c r="H853">
        <v>365.57</v>
      </c>
      <c r="I853" t="s">
        <v>354</v>
      </c>
      <c r="J853" t="s">
        <v>32</v>
      </c>
      <c r="K853" t="s">
        <v>40</v>
      </c>
      <c r="L853" t="s">
        <v>3142</v>
      </c>
      <c r="M853">
        <v>5</v>
      </c>
      <c r="N853" t="s">
        <v>25</v>
      </c>
      <c r="O853" t="s">
        <v>43</v>
      </c>
      <c r="P853">
        <v>365.57</v>
      </c>
      <c r="Q853">
        <v>365.57</v>
      </c>
      <c r="R853" t="str">
        <f>IF(OR(P853&lt;Outliers!$B$5, P853&gt;Outliers!$B$6), "outliers", "")</f>
        <v/>
      </c>
    </row>
    <row r="854" spans="1:18" x14ac:dyDescent="0.25">
      <c r="A854" t="s">
        <v>3143</v>
      </c>
      <c r="B854" s="1">
        <v>45589</v>
      </c>
      <c r="C854">
        <v>2024</v>
      </c>
      <c r="D854" t="s">
        <v>45</v>
      </c>
      <c r="E854" t="s">
        <v>3144</v>
      </c>
      <c r="F854" t="s">
        <v>80</v>
      </c>
      <c r="G854">
        <v>3</v>
      </c>
      <c r="H854">
        <v>568.04999999999995</v>
      </c>
      <c r="I854" t="s">
        <v>3145</v>
      </c>
      <c r="J854" t="s">
        <v>67</v>
      </c>
      <c r="K854" t="s">
        <v>96</v>
      </c>
      <c r="L854" t="s">
        <v>3146</v>
      </c>
      <c r="M854">
        <v>6</v>
      </c>
      <c r="N854" t="s">
        <v>25</v>
      </c>
      <c r="O854" t="s">
        <v>83</v>
      </c>
      <c r="P854">
        <v>1704.15</v>
      </c>
      <c r="Q854">
        <v>1704.15</v>
      </c>
      <c r="R854" t="str">
        <f>IF(OR(P854&lt;Outliers!$B$5, P854&gt;Outliers!$B$6), "outliers", "")</f>
        <v/>
      </c>
    </row>
    <row r="855" spans="1:18" x14ac:dyDescent="0.25">
      <c r="A855" t="s">
        <v>3147</v>
      </c>
      <c r="B855" s="1">
        <v>45215</v>
      </c>
      <c r="C855">
        <v>2023</v>
      </c>
      <c r="D855" t="s">
        <v>45</v>
      </c>
      <c r="E855" t="s">
        <v>3148</v>
      </c>
      <c r="F855" t="s">
        <v>55</v>
      </c>
      <c r="G855">
        <v>3</v>
      </c>
      <c r="H855">
        <v>490.01</v>
      </c>
      <c r="I855" t="s">
        <v>1201</v>
      </c>
      <c r="J855" t="s">
        <v>72</v>
      </c>
      <c r="K855" t="s">
        <v>49</v>
      </c>
      <c r="L855" t="s">
        <v>3149</v>
      </c>
      <c r="M855">
        <v>4</v>
      </c>
      <c r="N855" t="s">
        <v>25</v>
      </c>
      <c r="O855" t="s">
        <v>51</v>
      </c>
      <c r="P855">
        <v>1470.03</v>
      </c>
      <c r="Q855">
        <v>1470.03</v>
      </c>
      <c r="R855" t="str">
        <f>IF(OR(P855&lt;Outliers!$B$5, P855&gt;Outliers!$B$6), "outliers", "")</f>
        <v/>
      </c>
    </row>
    <row r="856" spans="1:18" x14ac:dyDescent="0.25">
      <c r="A856" t="s">
        <v>3150</v>
      </c>
      <c r="B856" s="1">
        <v>45821</v>
      </c>
      <c r="C856">
        <v>2025</v>
      </c>
      <c r="D856" t="s">
        <v>53</v>
      </c>
      <c r="E856" t="s">
        <v>3151</v>
      </c>
      <c r="F856" t="s">
        <v>65</v>
      </c>
      <c r="G856">
        <v>3</v>
      </c>
      <c r="H856">
        <v>372.6</v>
      </c>
      <c r="I856" t="s">
        <v>1738</v>
      </c>
      <c r="J856" t="s">
        <v>39</v>
      </c>
      <c r="K856" t="s">
        <v>57</v>
      </c>
      <c r="L856" t="s">
        <v>3152</v>
      </c>
      <c r="M856">
        <v>7</v>
      </c>
      <c r="N856" t="s">
        <v>88</v>
      </c>
      <c r="O856" t="s">
        <v>34</v>
      </c>
      <c r="P856">
        <v>1117.8</v>
      </c>
      <c r="Q856">
        <v>1117.8</v>
      </c>
      <c r="R856" t="str">
        <f>IF(OR(P856&lt;Outliers!$B$5, P856&gt;Outliers!$B$6), "outliers", "")</f>
        <v/>
      </c>
    </row>
    <row r="857" spans="1:18" x14ac:dyDescent="0.25">
      <c r="A857" t="s">
        <v>3153</v>
      </c>
      <c r="B857" s="1">
        <v>45071</v>
      </c>
      <c r="C857">
        <v>2023</v>
      </c>
      <c r="D857" t="s">
        <v>53</v>
      </c>
      <c r="E857" t="s">
        <v>3154</v>
      </c>
      <c r="F857" t="s">
        <v>20</v>
      </c>
      <c r="G857">
        <v>5</v>
      </c>
      <c r="H857">
        <v>240.61</v>
      </c>
      <c r="I857" t="s">
        <v>1003</v>
      </c>
      <c r="J857" t="s">
        <v>39</v>
      </c>
      <c r="K857" t="s">
        <v>23</v>
      </c>
      <c r="L857" t="s">
        <v>3155</v>
      </c>
      <c r="M857">
        <v>10</v>
      </c>
      <c r="N857" t="s">
        <v>42</v>
      </c>
      <c r="O857" t="s">
        <v>43</v>
      </c>
      <c r="P857">
        <v>1203.05</v>
      </c>
      <c r="Q857">
        <v>1203.05</v>
      </c>
      <c r="R857" t="str">
        <f>IF(OR(P857&lt;Outliers!$B$5, P857&gt;Outliers!$B$6), "outliers", "")</f>
        <v/>
      </c>
    </row>
    <row r="858" spans="1:18" x14ac:dyDescent="0.25">
      <c r="A858" t="s">
        <v>3156</v>
      </c>
      <c r="B858" s="1">
        <v>45446</v>
      </c>
      <c r="C858">
        <v>2024</v>
      </c>
      <c r="D858" t="s">
        <v>53</v>
      </c>
      <c r="E858" t="s">
        <v>3157</v>
      </c>
      <c r="F858" t="s">
        <v>30</v>
      </c>
      <c r="G858">
        <v>1</v>
      </c>
      <c r="H858">
        <v>586.62</v>
      </c>
      <c r="I858" t="s">
        <v>219</v>
      </c>
      <c r="J858" t="s">
        <v>22</v>
      </c>
      <c r="K858" t="s">
        <v>23</v>
      </c>
      <c r="L858" t="s">
        <v>3158</v>
      </c>
      <c r="M858">
        <v>5</v>
      </c>
      <c r="O858" t="s">
        <v>51</v>
      </c>
      <c r="P858">
        <v>586.62</v>
      </c>
      <c r="Q858">
        <v>586.62</v>
      </c>
      <c r="R858" t="str">
        <f>IF(OR(P858&lt;Outliers!$B$5, P858&gt;Outliers!$B$6), "outliers", "")</f>
        <v/>
      </c>
    </row>
    <row r="859" spans="1:18" x14ac:dyDescent="0.25">
      <c r="A859" t="s">
        <v>3159</v>
      </c>
      <c r="B859" s="1">
        <v>45361</v>
      </c>
      <c r="C859">
        <v>2024</v>
      </c>
      <c r="D859" t="s">
        <v>18</v>
      </c>
      <c r="E859" t="s">
        <v>3160</v>
      </c>
      <c r="F859" t="s">
        <v>30</v>
      </c>
      <c r="G859">
        <v>3</v>
      </c>
      <c r="H859">
        <v>257.83999999999997</v>
      </c>
      <c r="I859" t="s">
        <v>865</v>
      </c>
      <c r="J859" t="s">
        <v>32</v>
      </c>
      <c r="K859" t="s">
        <v>57</v>
      </c>
      <c r="L859" t="s">
        <v>3161</v>
      </c>
      <c r="M859">
        <v>4</v>
      </c>
      <c r="O859" t="s">
        <v>26</v>
      </c>
      <c r="P859">
        <v>773.52</v>
      </c>
      <c r="Q859">
        <v>773.52</v>
      </c>
      <c r="R859" t="str">
        <f>IF(OR(P859&lt;Outliers!$B$5, P859&gt;Outliers!$B$6), "outliers", "")</f>
        <v/>
      </c>
    </row>
    <row r="860" spans="1:18" x14ac:dyDescent="0.25">
      <c r="A860" t="s">
        <v>3162</v>
      </c>
      <c r="B860" s="1">
        <v>45158</v>
      </c>
      <c r="C860">
        <v>2023</v>
      </c>
      <c r="D860" t="s">
        <v>28</v>
      </c>
      <c r="E860" t="s">
        <v>3163</v>
      </c>
      <c r="F860" t="s">
        <v>37</v>
      </c>
      <c r="G860">
        <v>5</v>
      </c>
      <c r="H860">
        <v>435.66</v>
      </c>
      <c r="I860" t="s">
        <v>120</v>
      </c>
      <c r="J860" t="s">
        <v>32</v>
      </c>
      <c r="K860" t="s">
        <v>96</v>
      </c>
      <c r="L860" t="s">
        <v>3164</v>
      </c>
      <c r="M860">
        <v>9</v>
      </c>
      <c r="O860" t="s">
        <v>51</v>
      </c>
      <c r="P860">
        <v>2178.3000000000002</v>
      </c>
      <c r="Q860">
        <v>2178.3000000000002</v>
      </c>
      <c r="R860" t="str">
        <f>IF(OR(P860&lt;Outliers!$B$5, P860&gt;Outliers!$B$6), "outliers", "")</f>
        <v/>
      </c>
    </row>
    <row r="861" spans="1:18" x14ac:dyDescent="0.25">
      <c r="A861" t="s">
        <v>3165</v>
      </c>
      <c r="B861" s="1">
        <v>45532</v>
      </c>
      <c r="C861">
        <v>2024</v>
      </c>
      <c r="D861" t="s">
        <v>28</v>
      </c>
      <c r="E861" t="s">
        <v>3166</v>
      </c>
      <c r="F861" t="s">
        <v>47</v>
      </c>
      <c r="G861">
        <v>5</v>
      </c>
      <c r="H861">
        <v>261.33</v>
      </c>
      <c r="I861" t="s">
        <v>2318</v>
      </c>
      <c r="J861" t="s">
        <v>39</v>
      </c>
      <c r="K861" t="s">
        <v>49</v>
      </c>
      <c r="L861" t="s">
        <v>3167</v>
      </c>
      <c r="M861">
        <v>5</v>
      </c>
      <c r="N861" t="s">
        <v>25</v>
      </c>
      <c r="O861" t="s">
        <v>34</v>
      </c>
      <c r="P861">
        <v>1306.6500000000001</v>
      </c>
      <c r="Q861">
        <v>1306.6500000000001</v>
      </c>
      <c r="R861" t="str">
        <f>IF(OR(P861&lt;Outliers!$B$5, P861&gt;Outliers!$B$6), "outliers", "")</f>
        <v/>
      </c>
    </row>
    <row r="862" spans="1:18" x14ac:dyDescent="0.25">
      <c r="A862" t="s">
        <v>3168</v>
      </c>
      <c r="B862" s="1">
        <v>45314</v>
      </c>
      <c r="C862">
        <v>2024</v>
      </c>
      <c r="D862" t="s">
        <v>18</v>
      </c>
      <c r="E862" t="s">
        <v>3169</v>
      </c>
      <c r="F862" t="s">
        <v>55</v>
      </c>
      <c r="G862">
        <v>1</v>
      </c>
      <c r="H862">
        <v>422.54</v>
      </c>
      <c r="I862" t="s">
        <v>1375</v>
      </c>
      <c r="J862" t="s">
        <v>72</v>
      </c>
      <c r="K862" t="s">
        <v>57</v>
      </c>
      <c r="L862" t="s">
        <v>3170</v>
      </c>
      <c r="M862">
        <v>1</v>
      </c>
      <c r="N862" t="s">
        <v>25</v>
      </c>
      <c r="O862" t="s">
        <v>83</v>
      </c>
      <c r="P862">
        <v>422.54</v>
      </c>
      <c r="Q862">
        <v>422.54</v>
      </c>
      <c r="R862" t="str">
        <f>IF(OR(P862&lt;Outliers!$B$5, P862&gt;Outliers!$B$6), "outliers", "")</f>
        <v/>
      </c>
    </row>
    <row r="863" spans="1:18" x14ac:dyDescent="0.25">
      <c r="A863" t="s">
        <v>3171</v>
      </c>
      <c r="B863" s="1">
        <v>45004</v>
      </c>
      <c r="C863">
        <v>2023</v>
      </c>
      <c r="D863" t="s">
        <v>18</v>
      </c>
      <c r="E863" t="s">
        <v>3172</v>
      </c>
      <c r="F863" t="s">
        <v>80</v>
      </c>
      <c r="G863">
        <v>5</v>
      </c>
      <c r="H863">
        <v>330.45</v>
      </c>
      <c r="I863" t="s">
        <v>3173</v>
      </c>
      <c r="J863" t="s">
        <v>67</v>
      </c>
      <c r="K863" t="s">
        <v>23</v>
      </c>
      <c r="L863" t="s">
        <v>3174</v>
      </c>
      <c r="M863">
        <v>10</v>
      </c>
      <c r="N863" t="s">
        <v>42</v>
      </c>
      <c r="O863" t="s">
        <v>83</v>
      </c>
      <c r="P863">
        <v>1652.25</v>
      </c>
      <c r="Q863">
        <v>1652.25</v>
      </c>
      <c r="R863" t="str">
        <f>IF(OR(P863&lt;Outliers!$B$5, P863&gt;Outliers!$B$6), "outliers", "")</f>
        <v/>
      </c>
    </row>
    <row r="864" spans="1:18" x14ac:dyDescent="0.25">
      <c r="A864" t="s">
        <v>3175</v>
      </c>
      <c r="B864" s="1">
        <v>45262</v>
      </c>
      <c r="C864">
        <v>2023</v>
      </c>
      <c r="D864" t="s">
        <v>45</v>
      </c>
      <c r="E864" t="s">
        <v>3176</v>
      </c>
      <c r="F864" t="s">
        <v>80</v>
      </c>
      <c r="G864">
        <v>3</v>
      </c>
      <c r="H864">
        <v>120.82</v>
      </c>
      <c r="I864" t="s">
        <v>2627</v>
      </c>
      <c r="J864" t="s">
        <v>39</v>
      </c>
      <c r="K864" t="s">
        <v>23</v>
      </c>
      <c r="L864" t="s">
        <v>3177</v>
      </c>
      <c r="M864">
        <v>5</v>
      </c>
      <c r="N864" t="s">
        <v>25</v>
      </c>
      <c r="O864" t="s">
        <v>34</v>
      </c>
      <c r="P864">
        <v>362.46</v>
      </c>
      <c r="Q864">
        <v>362.46</v>
      </c>
      <c r="R864" t="str">
        <f>IF(OR(P864&lt;Outliers!$B$5, P864&gt;Outliers!$B$6), "outliers", "")</f>
        <v/>
      </c>
    </row>
    <row r="865" spans="1:18" x14ac:dyDescent="0.25">
      <c r="A865" t="s">
        <v>3178</v>
      </c>
      <c r="B865" s="1">
        <v>45432</v>
      </c>
      <c r="C865">
        <v>2024</v>
      </c>
      <c r="D865" t="s">
        <v>53</v>
      </c>
      <c r="E865" t="s">
        <v>3179</v>
      </c>
      <c r="F865" t="s">
        <v>30</v>
      </c>
      <c r="G865">
        <v>1</v>
      </c>
      <c r="H865">
        <v>14.06</v>
      </c>
      <c r="I865" t="s">
        <v>1007</v>
      </c>
      <c r="J865" t="s">
        <v>39</v>
      </c>
      <c r="K865" t="s">
        <v>96</v>
      </c>
      <c r="L865" t="s">
        <v>3180</v>
      </c>
      <c r="M865">
        <v>5</v>
      </c>
      <c r="N865" t="s">
        <v>25</v>
      </c>
      <c r="O865" t="s">
        <v>34</v>
      </c>
      <c r="P865">
        <v>14.06</v>
      </c>
      <c r="Q865">
        <v>14.06</v>
      </c>
      <c r="R865" t="str">
        <f>IF(OR(P865&lt;Outliers!$B$5, P865&gt;Outliers!$B$6), "outliers", "")</f>
        <v/>
      </c>
    </row>
    <row r="866" spans="1:18" x14ac:dyDescent="0.25">
      <c r="A866" t="s">
        <v>3181</v>
      </c>
      <c r="B866" s="1">
        <v>45049</v>
      </c>
      <c r="C866">
        <v>2023</v>
      </c>
      <c r="D866" t="s">
        <v>53</v>
      </c>
      <c r="E866" t="s">
        <v>3182</v>
      </c>
      <c r="F866" t="s">
        <v>80</v>
      </c>
      <c r="G866">
        <v>1</v>
      </c>
      <c r="H866">
        <v>491.11</v>
      </c>
      <c r="I866" t="s">
        <v>3183</v>
      </c>
      <c r="J866" t="s">
        <v>39</v>
      </c>
      <c r="K866" t="s">
        <v>57</v>
      </c>
      <c r="L866" t="s">
        <v>3184</v>
      </c>
      <c r="M866">
        <v>4</v>
      </c>
      <c r="N866" t="s">
        <v>25</v>
      </c>
      <c r="O866" t="s">
        <v>51</v>
      </c>
      <c r="P866">
        <v>491.11</v>
      </c>
      <c r="Q866">
        <v>491.11</v>
      </c>
      <c r="R866" t="str">
        <f>IF(OR(P866&lt;Outliers!$B$5, P866&gt;Outliers!$B$6), "outliers", "")</f>
        <v/>
      </c>
    </row>
    <row r="867" spans="1:18" x14ac:dyDescent="0.25">
      <c r="A867" t="s">
        <v>3185</v>
      </c>
      <c r="B867" s="1">
        <v>45046</v>
      </c>
      <c r="C867">
        <v>2023</v>
      </c>
      <c r="D867" t="s">
        <v>53</v>
      </c>
      <c r="E867" t="s">
        <v>3186</v>
      </c>
      <c r="F867" t="s">
        <v>20</v>
      </c>
      <c r="G867">
        <v>4</v>
      </c>
      <c r="H867">
        <v>677.37</v>
      </c>
      <c r="I867" t="s">
        <v>3187</v>
      </c>
      <c r="J867" t="s">
        <v>72</v>
      </c>
      <c r="K867" t="s">
        <v>96</v>
      </c>
      <c r="L867" t="s">
        <v>3188</v>
      </c>
      <c r="M867">
        <v>8</v>
      </c>
      <c r="N867" t="s">
        <v>25</v>
      </c>
      <c r="O867" t="s">
        <v>83</v>
      </c>
      <c r="P867">
        <v>2709.48</v>
      </c>
      <c r="Q867">
        <v>2709.48</v>
      </c>
      <c r="R867" t="str">
        <f>IF(OR(P867&lt;Outliers!$B$5, P867&gt;Outliers!$B$6), "outliers", "")</f>
        <v/>
      </c>
    </row>
    <row r="868" spans="1:18" x14ac:dyDescent="0.25">
      <c r="A868" t="s">
        <v>3189</v>
      </c>
      <c r="B868" s="1">
        <v>45499</v>
      </c>
      <c r="C868">
        <v>2024</v>
      </c>
      <c r="D868" t="s">
        <v>28</v>
      </c>
      <c r="E868" t="s">
        <v>3190</v>
      </c>
      <c r="F868" t="s">
        <v>80</v>
      </c>
      <c r="G868">
        <v>5</v>
      </c>
      <c r="H868">
        <v>189.25</v>
      </c>
      <c r="I868" t="s">
        <v>3191</v>
      </c>
      <c r="J868" t="s">
        <v>22</v>
      </c>
      <c r="K868" t="s">
        <v>40</v>
      </c>
      <c r="L868" t="s">
        <v>3192</v>
      </c>
      <c r="M868">
        <v>10</v>
      </c>
      <c r="N868" t="s">
        <v>88</v>
      </c>
      <c r="O868" t="s">
        <v>43</v>
      </c>
      <c r="P868">
        <v>946.25</v>
      </c>
      <c r="Q868">
        <v>946.25</v>
      </c>
      <c r="R868" t="str">
        <f>IF(OR(P868&lt;Outliers!$B$5, P868&gt;Outliers!$B$6), "outliers", "")</f>
        <v/>
      </c>
    </row>
    <row r="869" spans="1:18" x14ac:dyDescent="0.25">
      <c r="A869" t="s">
        <v>3193</v>
      </c>
      <c r="B869" s="1">
        <v>45438</v>
      </c>
      <c r="C869">
        <v>2024</v>
      </c>
      <c r="D869" t="s">
        <v>53</v>
      </c>
      <c r="E869" t="s">
        <v>3194</v>
      </c>
      <c r="F869" t="s">
        <v>55</v>
      </c>
      <c r="G869">
        <v>4</v>
      </c>
      <c r="H869">
        <v>142.58000000000001</v>
      </c>
      <c r="I869" t="s">
        <v>3195</v>
      </c>
      <c r="J869" t="s">
        <v>72</v>
      </c>
      <c r="K869" t="s">
        <v>57</v>
      </c>
      <c r="L869" t="s">
        <v>3196</v>
      </c>
      <c r="M869">
        <v>4</v>
      </c>
      <c r="N869" t="s">
        <v>42</v>
      </c>
      <c r="O869" t="s">
        <v>51</v>
      </c>
      <c r="P869">
        <v>570.32000000000005</v>
      </c>
      <c r="Q869">
        <v>570.32000000000005</v>
      </c>
      <c r="R869" t="str">
        <f>IF(OR(P869&lt;Outliers!$B$5, P869&gt;Outliers!$B$6), "outliers", "")</f>
        <v/>
      </c>
    </row>
    <row r="870" spans="1:18" x14ac:dyDescent="0.25">
      <c r="A870" t="s">
        <v>3197</v>
      </c>
      <c r="B870" s="1">
        <v>45472</v>
      </c>
      <c r="C870">
        <v>2024</v>
      </c>
      <c r="D870" t="s">
        <v>53</v>
      </c>
      <c r="E870" t="s">
        <v>3198</v>
      </c>
      <c r="F870" t="s">
        <v>20</v>
      </c>
      <c r="G870">
        <v>4</v>
      </c>
      <c r="H870">
        <v>316.32</v>
      </c>
      <c r="I870" t="s">
        <v>3199</v>
      </c>
      <c r="J870" t="s">
        <v>22</v>
      </c>
      <c r="K870" t="s">
        <v>57</v>
      </c>
      <c r="L870" t="s">
        <v>3200</v>
      </c>
      <c r="M870">
        <v>7</v>
      </c>
      <c r="O870" t="s">
        <v>51</v>
      </c>
      <c r="P870">
        <v>1265.28</v>
      </c>
      <c r="Q870">
        <v>1265.28</v>
      </c>
      <c r="R870" t="str">
        <f>IF(OR(P870&lt;Outliers!$B$5, P870&gt;Outliers!$B$6), "outliers", "")</f>
        <v/>
      </c>
    </row>
    <row r="871" spans="1:18" x14ac:dyDescent="0.25">
      <c r="A871" t="s">
        <v>3201</v>
      </c>
      <c r="B871" s="1">
        <v>45368</v>
      </c>
      <c r="C871">
        <v>2024</v>
      </c>
      <c r="D871" t="s">
        <v>18</v>
      </c>
      <c r="E871" t="s">
        <v>3202</v>
      </c>
      <c r="F871" t="s">
        <v>80</v>
      </c>
      <c r="G871">
        <v>2</v>
      </c>
      <c r="H871">
        <v>533.95000000000005</v>
      </c>
      <c r="I871" t="s">
        <v>726</v>
      </c>
      <c r="J871" t="s">
        <v>32</v>
      </c>
      <c r="K871" t="s">
        <v>57</v>
      </c>
      <c r="L871" t="s">
        <v>3203</v>
      </c>
      <c r="M871">
        <v>5</v>
      </c>
      <c r="N871" t="s">
        <v>88</v>
      </c>
      <c r="O871" t="s">
        <v>83</v>
      </c>
      <c r="P871">
        <v>1067.9000000000001</v>
      </c>
      <c r="Q871">
        <v>1067.9000000000001</v>
      </c>
      <c r="R871" t="str">
        <f>IF(OR(P871&lt;Outliers!$B$5, P871&gt;Outliers!$B$6), "outliers", "")</f>
        <v/>
      </c>
    </row>
    <row r="872" spans="1:18" x14ac:dyDescent="0.25">
      <c r="A872" t="s">
        <v>3204</v>
      </c>
      <c r="B872" s="1">
        <v>45809</v>
      </c>
      <c r="C872">
        <v>2025</v>
      </c>
      <c r="D872" t="s">
        <v>53</v>
      </c>
      <c r="E872" t="s">
        <v>3205</v>
      </c>
      <c r="F872" t="s">
        <v>30</v>
      </c>
      <c r="G872">
        <v>4</v>
      </c>
      <c r="H872">
        <v>470.09</v>
      </c>
      <c r="I872" t="s">
        <v>3206</v>
      </c>
      <c r="J872" t="s">
        <v>22</v>
      </c>
      <c r="K872" t="s">
        <v>57</v>
      </c>
      <c r="L872" t="s">
        <v>3207</v>
      </c>
      <c r="M872">
        <v>4</v>
      </c>
      <c r="N872" t="s">
        <v>42</v>
      </c>
      <c r="O872" t="s">
        <v>83</v>
      </c>
      <c r="P872">
        <v>1880.36</v>
      </c>
      <c r="Q872">
        <v>1880.36</v>
      </c>
      <c r="R872" t="str">
        <f>IF(OR(P872&lt;Outliers!$B$5, P872&gt;Outliers!$B$6), "outliers", "")</f>
        <v/>
      </c>
    </row>
    <row r="873" spans="1:18" x14ac:dyDescent="0.25">
      <c r="A873" t="s">
        <v>3208</v>
      </c>
      <c r="B873" s="1">
        <v>45428</v>
      </c>
      <c r="C873">
        <v>2024</v>
      </c>
      <c r="D873" t="s">
        <v>53</v>
      </c>
      <c r="E873" t="s">
        <v>3209</v>
      </c>
      <c r="F873" t="s">
        <v>37</v>
      </c>
      <c r="G873">
        <v>3</v>
      </c>
      <c r="H873">
        <v>324.3</v>
      </c>
      <c r="I873" t="s">
        <v>3210</v>
      </c>
      <c r="J873" t="s">
        <v>22</v>
      </c>
      <c r="K873" t="s">
        <v>96</v>
      </c>
      <c r="L873" t="s">
        <v>3211</v>
      </c>
      <c r="M873">
        <v>8</v>
      </c>
      <c r="N873" t="s">
        <v>42</v>
      </c>
      <c r="O873" t="s">
        <v>43</v>
      </c>
      <c r="P873">
        <v>972.9</v>
      </c>
      <c r="Q873">
        <v>972.9</v>
      </c>
      <c r="R873" t="str">
        <f>IF(OR(P873&lt;Outliers!$B$5, P873&gt;Outliers!$B$6), "outliers", "")</f>
        <v/>
      </c>
    </row>
    <row r="874" spans="1:18" x14ac:dyDescent="0.25">
      <c r="A874" t="s">
        <v>3212</v>
      </c>
      <c r="B874" s="1">
        <v>45117</v>
      </c>
      <c r="C874">
        <v>2023</v>
      </c>
      <c r="D874" t="s">
        <v>28</v>
      </c>
      <c r="E874" t="s">
        <v>3213</v>
      </c>
      <c r="F874" t="s">
        <v>47</v>
      </c>
      <c r="G874">
        <v>4</v>
      </c>
      <c r="H874">
        <v>629.34</v>
      </c>
      <c r="I874" t="s">
        <v>837</v>
      </c>
      <c r="J874" t="s">
        <v>72</v>
      </c>
      <c r="K874" t="s">
        <v>23</v>
      </c>
      <c r="L874" t="s">
        <v>3214</v>
      </c>
      <c r="M874">
        <v>7</v>
      </c>
      <c r="O874" t="s">
        <v>43</v>
      </c>
      <c r="P874">
        <v>2517.36</v>
      </c>
      <c r="Q874">
        <v>2517.36</v>
      </c>
      <c r="R874" t="str">
        <f>IF(OR(P874&lt;Outliers!$B$5, P874&gt;Outliers!$B$6), "outliers", "")</f>
        <v/>
      </c>
    </row>
    <row r="875" spans="1:18" x14ac:dyDescent="0.25">
      <c r="A875" t="s">
        <v>3215</v>
      </c>
      <c r="B875" s="1">
        <v>45424</v>
      </c>
      <c r="C875">
        <v>2024</v>
      </c>
      <c r="D875" t="s">
        <v>53</v>
      </c>
      <c r="E875" t="s">
        <v>3216</v>
      </c>
      <c r="F875" t="s">
        <v>80</v>
      </c>
      <c r="G875">
        <v>3</v>
      </c>
      <c r="H875">
        <v>136.84</v>
      </c>
      <c r="I875" t="s">
        <v>3217</v>
      </c>
      <c r="J875" t="s">
        <v>72</v>
      </c>
      <c r="K875" t="s">
        <v>57</v>
      </c>
      <c r="L875" t="s">
        <v>3218</v>
      </c>
      <c r="M875">
        <v>3</v>
      </c>
      <c r="N875" t="s">
        <v>25</v>
      </c>
      <c r="O875" t="s">
        <v>51</v>
      </c>
      <c r="P875">
        <v>410.52</v>
      </c>
      <c r="Q875">
        <v>410.52</v>
      </c>
      <c r="R875" t="str">
        <f>IF(OR(P875&lt;Outliers!$B$5, P875&gt;Outliers!$B$6), "outliers", "")</f>
        <v/>
      </c>
    </row>
    <row r="876" spans="1:18" x14ac:dyDescent="0.25">
      <c r="A876" t="s">
        <v>3219</v>
      </c>
      <c r="B876" s="1">
        <v>45230</v>
      </c>
      <c r="C876">
        <v>2023</v>
      </c>
      <c r="D876" t="s">
        <v>45</v>
      </c>
      <c r="E876" t="s">
        <v>3220</v>
      </c>
      <c r="F876" t="s">
        <v>47</v>
      </c>
      <c r="G876">
        <v>2</v>
      </c>
      <c r="H876">
        <v>488.9</v>
      </c>
      <c r="I876" t="s">
        <v>2655</v>
      </c>
      <c r="J876" t="s">
        <v>72</v>
      </c>
      <c r="K876" t="s">
        <v>57</v>
      </c>
      <c r="L876" t="s">
        <v>3221</v>
      </c>
      <c r="M876">
        <v>7</v>
      </c>
      <c r="N876" t="s">
        <v>42</v>
      </c>
      <c r="O876" t="s">
        <v>51</v>
      </c>
      <c r="P876">
        <v>977.8</v>
      </c>
      <c r="Q876">
        <v>977.8</v>
      </c>
      <c r="R876" t="str">
        <f>IF(OR(P876&lt;Outliers!$B$5, P876&gt;Outliers!$B$6), "outliers", "")</f>
        <v/>
      </c>
    </row>
    <row r="877" spans="1:18" x14ac:dyDescent="0.25">
      <c r="A877" t="s">
        <v>3222</v>
      </c>
      <c r="B877" s="1">
        <v>45141</v>
      </c>
      <c r="C877">
        <v>2023</v>
      </c>
      <c r="D877" t="s">
        <v>28</v>
      </c>
      <c r="E877" t="s">
        <v>3223</v>
      </c>
      <c r="F877" t="s">
        <v>65</v>
      </c>
      <c r="G877">
        <v>5</v>
      </c>
      <c r="H877">
        <v>133.38999999999999</v>
      </c>
      <c r="I877" t="s">
        <v>410</v>
      </c>
      <c r="J877" t="s">
        <v>39</v>
      </c>
      <c r="K877" t="s">
        <v>57</v>
      </c>
      <c r="L877" t="s">
        <v>3224</v>
      </c>
      <c r="M877">
        <v>6</v>
      </c>
      <c r="N877" t="s">
        <v>42</v>
      </c>
      <c r="O877" t="s">
        <v>34</v>
      </c>
      <c r="P877">
        <v>666.95</v>
      </c>
      <c r="Q877">
        <v>666.95</v>
      </c>
      <c r="R877" t="str">
        <f>IF(OR(P877&lt;Outliers!$B$5, P877&gt;Outliers!$B$6), "outliers", "")</f>
        <v/>
      </c>
    </row>
    <row r="878" spans="1:18" x14ac:dyDescent="0.25">
      <c r="A878" t="s">
        <v>3225</v>
      </c>
      <c r="B878" s="1">
        <v>45452</v>
      </c>
      <c r="C878">
        <v>2024</v>
      </c>
      <c r="D878" t="s">
        <v>53</v>
      </c>
      <c r="E878" t="s">
        <v>3226</v>
      </c>
      <c r="F878" t="s">
        <v>47</v>
      </c>
      <c r="G878">
        <v>5</v>
      </c>
      <c r="H878">
        <v>608.91</v>
      </c>
      <c r="I878" t="s">
        <v>2767</v>
      </c>
      <c r="J878" t="s">
        <v>67</v>
      </c>
      <c r="K878" t="s">
        <v>96</v>
      </c>
      <c r="L878" t="s">
        <v>3227</v>
      </c>
      <c r="M878">
        <v>6</v>
      </c>
      <c r="N878" t="s">
        <v>25</v>
      </c>
      <c r="O878" t="s">
        <v>83</v>
      </c>
      <c r="P878">
        <v>3044.55</v>
      </c>
      <c r="Q878">
        <v>3044.55</v>
      </c>
      <c r="R878" t="str">
        <f>IF(OR(P878&lt;Outliers!$B$5, P878&gt;Outliers!$B$6), "outliers", "")</f>
        <v/>
      </c>
    </row>
    <row r="879" spans="1:18" x14ac:dyDescent="0.25">
      <c r="A879" t="s">
        <v>3228</v>
      </c>
      <c r="B879" s="1">
        <v>45498</v>
      </c>
      <c r="C879">
        <v>2024</v>
      </c>
      <c r="D879" t="s">
        <v>28</v>
      </c>
      <c r="E879" t="s">
        <v>3229</v>
      </c>
      <c r="F879" t="s">
        <v>37</v>
      </c>
      <c r="G879">
        <v>1</v>
      </c>
      <c r="H879">
        <v>524.05999999999995</v>
      </c>
      <c r="I879" t="s">
        <v>2353</v>
      </c>
      <c r="J879" t="s">
        <v>22</v>
      </c>
      <c r="K879" t="s">
        <v>96</v>
      </c>
      <c r="L879" t="s">
        <v>3230</v>
      </c>
      <c r="M879">
        <v>3</v>
      </c>
      <c r="N879" t="s">
        <v>42</v>
      </c>
      <c r="O879" t="s">
        <v>43</v>
      </c>
      <c r="P879">
        <v>524.05999999999995</v>
      </c>
      <c r="Q879">
        <v>524.05999999999995</v>
      </c>
      <c r="R879" t="str">
        <f>IF(OR(P879&lt;Outliers!$B$5, P879&gt;Outliers!$B$6), "outliers", "")</f>
        <v/>
      </c>
    </row>
    <row r="880" spans="1:18" x14ac:dyDescent="0.25">
      <c r="A880" t="s">
        <v>3231</v>
      </c>
      <c r="B880" s="1">
        <v>45078</v>
      </c>
      <c r="C880">
        <v>2023</v>
      </c>
      <c r="D880" t="s">
        <v>53</v>
      </c>
      <c r="E880" t="s">
        <v>3232</v>
      </c>
      <c r="F880" t="s">
        <v>80</v>
      </c>
      <c r="G880">
        <v>2</v>
      </c>
      <c r="H880">
        <v>330.69</v>
      </c>
      <c r="I880" t="s">
        <v>3233</v>
      </c>
      <c r="J880" t="s">
        <v>32</v>
      </c>
      <c r="K880" t="s">
        <v>40</v>
      </c>
      <c r="L880" t="s">
        <v>3234</v>
      </c>
      <c r="M880">
        <v>5</v>
      </c>
      <c r="N880" t="s">
        <v>25</v>
      </c>
      <c r="O880" t="s">
        <v>83</v>
      </c>
      <c r="P880">
        <v>661.38</v>
      </c>
      <c r="Q880">
        <v>661.38</v>
      </c>
      <c r="R880" t="str">
        <f>IF(OR(P880&lt;Outliers!$B$5, P880&gt;Outliers!$B$6), "outliers", "")</f>
        <v/>
      </c>
    </row>
    <row r="881" spans="1:18" x14ac:dyDescent="0.25">
      <c r="A881" t="s">
        <v>3235</v>
      </c>
      <c r="B881" s="1">
        <v>45755</v>
      </c>
      <c r="C881">
        <v>2025</v>
      </c>
      <c r="D881" t="s">
        <v>53</v>
      </c>
      <c r="E881" t="s">
        <v>3236</v>
      </c>
      <c r="F881" t="s">
        <v>30</v>
      </c>
      <c r="G881">
        <v>2</v>
      </c>
      <c r="H881">
        <v>547.66999999999996</v>
      </c>
      <c r="I881" t="s">
        <v>2123</v>
      </c>
      <c r="J881" t="s">
        <v>67</v>
      </c>
      <c r="K881" t="s">
        <v>23</v>
      </c>
      <c r="L881" t="s">
        <v>3237</v>
      </c>
      <c r="M881">
        <v>3</v>
      </c>
      <c r="O881" t="s">
        <v>26</v>
      </c>
      <c r="P881">
        <v>1095.3399999999999</v>
      </c>
      <c r="Q881">
        <v>1095.3399999999999</v>
      </c>
      <c r="R881" t="str">
        <f>IF(OR(P881&lt;Outliers!$B$5, P881&gt;Outliers!$B$6), "outliers", "")</f>
        <v/>
      </c>
    </row>
    <row r="882" spans="1:18" x14ac:dyDescent="0.25">
      <c r="A882" t="s">
        <v>3238</v>
      </c>
      <c r="B882" s="1">
        <v>45728</v>
      </c>
      <c r="C882">
        <v>2025</v>
      </c>
      <c r="D882" t="s">
        <v>18</v>
      </c>
      <c r="E882" t="s">
        <v>3239</v>
      </c>
      <c r="F882" t="s">
        <v>65</v>
      </c>
      <c r="G882">
        <v>4</v>
      </c>
      <c r="H882">
        <v>233.7</v>
      </c>
      <c r="I882" t="s">
        <v>987</v>
      </c>
      <c r="J882" t="s">
        <v>32</v>
      </c>
      <c r="K882" t="s">
        <v>23</v>
      </c>
      <c r="L882" t="s">
        <v>3240</v>
      </c>
      <c r="M882">
        <v>8</v>
      </c>
      <c r="N882" t="s">
        <v>25</v>
      </c>
      <c r="O882" t="s">
        <v>51</v>
      </c>
      <c r="P882">
        <v>934.8</v>
      </c>
      <c r="Q882">
        <v>934.8</v>
      </c>
      <c r="R882" t="str">
        <f>IF(OR(P882&lt;Outliers!$B$5, P882&gt;Outliers!$B$6), "outliers", "")</f>
        <v/>
      </c>
    </row>
    <row r="883" spans="1:18" x14ac:dyDescent="0.25">
      <c r="A883" t="s">
        <v>3241</v>
      </c>
      <c r="B883" s="1">
        <v>44929</v>
      </c>
      <c r="C883">
        <v>2023</v>
      </c>
      <c r="D883" t="s">
        <v>18</v>
      </c>
      <c r="E883" t="s">
        <v>3242</v>
      </c>
      <c r="F883" t="s">
        <v>37</v>
      </c>
      <c r="G883">
        <v>2</v>
      </c>
      <c r="H883">
        <v>448.85</v>
      </c>
      <c r="I883" t="s">
        <v>3243</v>
      </c>
      <c r="J883" t="s">
        <v>39</v>
      </c>
      <c r="K883" t="s">
        <v>96</v>
      </c>
      <c r="L883" t="s">
        <v>3244</v>
      </c>
      <c r="M883">
        <v>6</v>
      </c>
      <c r="O883" t="s">
        <v>26</v>
      </c>
      <c r="P883">
        <v>897.7</v>
      </c>
      <c r="Q883">
        <v>897.7</v>
      </c>
      <c r="R883" t="str">
        <f>IF(OR(P883&lt;Outliers!$B$5, P883&gt;Outliers!$B$6), "outliers", "")</f>
        <v/>
      </c>
    </row>
    <row r="884" spans="1:18" x14ac:dyDescent="0.25">
      <c r="A884" t="s">
        <v>3245</v>
      </c>
      <c r="B884" s="1">
        <v>45836</v>
      </c>
      <c r="C884">
        <v>2025</v>
      </c>
      <c r="D884" t="s">
        <v>53</v>
      </c>
      <c r="E884" t="s">
        <v>3246</v>
      </c>
      <c r="F884" t="s">
        <v>30</v>
      </c>
      <c r="G884">
        <v>2</v>
      </c>
      <c r="H884">
        <v>274.12</v>
      </c>
      <c r="I884" t="s">
        <v>433</v>
      </c>
      <c r="J884" t="s">
        <v>72</v>
      </c>
      <c r="K884" t="s">
        <v>57</v>
      </c>
      <c r="L884" t="s">
        <v>3247</v>
      </c>
      <c r="M884">
        <v>6</v>
      </c>
      <c r="N884" t="s">
        <v>42</v>
      </c>
      <c r="O884" t="s">
        <v>34</v>
      </c>
      <c r="P884">
        <v>548.24</v>
      </c>
      <c r="Q884">
        <v>548.24</v>
      </c>
      <c r="R884" t="str">
        <f>IF(OR(P884&lt;Outliers!$B$5, P884&gt;Outliers!$B$6), "outliers", "")</f>
        <v/>
      </c>
    </row>
    <row r="885" spans="1:18" x14ac:dyDescent="0.25">
      <c r="A885" t="s">
        <v>3248</v>
      </c>
      <c r="B885" s="1">
        <v>45790</v>
      </c>
      <c r="C885">
        <v>2025</v>
      </c>
      <c r="D885" t="s">
        <v>53</v>
      </c>
      <c r="E885" t="s">
        <v>3249</v>
      </c>
      <c r="F885" t="s">
        <v>55</v>
      </c>
      <c r="G885">
        <v>5</v>
      </c>
      <c r="H885">
        <v>561.48</v>
      </c>
      <c r="I885" t="s">
        <v>3250</v>
      </c>
      <c r="J885" t="s">
        <v>32</v>
      </c>
      <c r="K885" t="s">
        <v>57</v>
      </c>
      <c r="L885" t="s">
        <v>3251</v>
      </c>
      <c r="M885">
        <v>9</v>
      </c>
      <c r="N885" t="s">
        <v>42</v>
      </c>
      <c r="O885" t="s">
        <v>51</v>
      </c>
      <c r="P885">
        <v>2807.4</v>
      </c>
      <c r="Q885">
        <v>2807.4</v>
      </c>
      <c r="R885" t="str">
        <f>IF(OR(P885&lt;Outliers!$B$5, P885&gt;Outliers!$B$6), "outliers", "")</f>
        <v/>
      </c>
    </row>
    <row r="886" spans="1:18" x14ac:dyDescent="0.25">
      <c r="A886" t="s">
        <v>3252</v>
      </c>
      <c r="B886" s="1">
        <v>45427</v>
      </c>
      <c r="C886">
        <v>2024</v>
      </c>
      <c r="D886" t="s">
        <v>53</v>
      </c>
      <c r="E886" t="s">
        <v>3253</v>
      </c>
      <c r="F886" t="s">
        <v>47</v>
      </c>
      <c r="G886">
        <v>1</v>
      </c>
      <c r="H886">
        <v>595.54</v>
      </c>
      <c r="I886" t="s">
        <v>3254</v>
      </c>
      <c r="J886" t="s">
        <v>67</v>
      </c>
      <c r="K886" t="s">
        <v>23</v>
      </c>
      <c r="L886" t="s">
        <v>3255</v>
      </c>
      <c r="M886">
        <v>4</v>
      </c>
      <c r="O886" t="s">
        <v>26</v>
      </c>
      <c r="P886">
        <v>595.54</v>
      </c>
      <c r="Q886">
        <v>595.54</v>
      </c>
      <c r="R886" t="str">
        <f>IF(OR(P886&lt;Outliers!$B$5, P886&gt;Outliers!$B$6), "outliers", "")</f>
        <v/>
      </c>
    </row>
    <row r="887" spans="1:18" x14ac:dyDescent="0.25">
      <c r="A887" t="s">
        <v>3256</v>
      </c>
      <c r="B887" s="1">
        <v>45389</v>
      </c>
      <c r="C887">
        <v>2024</v>
      </c>
      <c r="D887" t="s">
        <v>53</v>
      </c>
      <c r="E887" t="s">
        <v>3257</v>
      </c>
      <c r="F887" t="s">
        <v>65</v>
      </c>
      <c r="G887">
        <v>4</v>
      </c>
      <c r="H887">
        <v>515.59</v>
      </c>
      <c r="I887" t="s">
        <v>3258</v>
      </c>
      <c r="J887" t="s">
        <v>39</v>
      </c>
      <c r="K887" t="s">
        <v>23</v>
      </c>
      <c r="L887" t="s">
        <v>3259</v>
      </c>
      <c r="M887">
        <v>7</v>
      </c>
      <c r="N887" t="s">
        <v>42</v>
      </c>
      <c r="O887" t="s">
        <v>83</v>
      </c>
      <c r="P887">
        <v>2062.36</v>
      </c>
      <c r="Q887">
        <v>2062.36</v>
      </c>
      <c r="R887" t="str">
        <f>IF(OR(P887&lt;Outliers!$B$5, P887&gt;Outliers!$B$6), "outliers", "")</f>
        <v/>
      </c>
    </row>
    <row r="888" spans="1:18" x14ac:dyDescent="0.25">
      <c r="A888" t="s">
        <v>3260</v>
      </c>
      <c r="B888" s="1">
        <v>45224</v>
      </c>
      <c r="C888">
        <v>2023</v>
      </c>
      <c r="D888" t="s">
        <v>45</v>
      </c>
      <c r="E888" t="s">
        <v>3261</v>
      </c>
      <c r="F888" t="s">
        <v>30</v>
      </c>
      <c r="G888">
        <v>1</v>
      </c>
      <c r="H888">
        <v>460.13</v>
      </c>
      <c r="I888" t="s">
        <v>3262</v>
      </c>
      <c r="J888" t="s">
        <v>39</v>
      </c>
      <c r="K888" t="s">
        <v>49</v>
      </c>
      <c r="L888" t="s">
        <v>3263</v>
      </c>
      <c r="M888">
        <v>1</v>
      </c>
      <c r="O888" t="s">
        <v>83</v>
      </c>
      <c r="P888">
        <v>460.13</v>
      </c>
      <c r="Q888">
        <v>460.13</v>
      </c>
      <c r="R888" t="str">
        <f>IF(OR(P888&lt;Outliers!$B$5, P888&gt;Outliers!$B$6), "outliers", "")</f>
        <v/>
      </c>
    </row>
    <row r="889" spans="1:18" x14ac:dyDescent="0.25">
      <c r="A889" t="s">
        <v>3264</v>
      </c>
      <c r="B889" s="1">
        <v>45645</v>
      </c>
      <c r="C889">
        <v>2024</v>
      </c>
      <c r="D889" t="s">
        <v>45</v>
      </c>
      <c r="E889" t="s">
        <v>3265</v>
      </c>
      <c r="F889" t="s">
        <v>47</v>
      </c>
      <c r="G889">
        <v>3</v>
      </c>
      <c r="H889">
        <v>171.66</v>
      </c>
      <c r="I889" t="s">
        <v>3266</v>
      </c>
      <c r="J889" t="s">
        <v>22</v>
      </c>
      <c r="K889" t="s">
        <v>57</v>
      </c>
      <c r="L889" t="s">
        <v>3267</v>
      </c>
      <c r="M889">
        <v>7</v>
      </c>
      <c r="O889" t="s">
        <v>83</v>
      </c>
      <c r="P889">
        <v>514.98</v>
      </c>
      <c r="Q889">
        <v>514.98</v>
      </c>
      <c r="R889" t="str">
        <f>IF(OR(P889&lt;Outliers!$B$5, P889&gt;Outliers!$B$6), "outliers", "")</f>
        <v/>
      </c>
    </row>
    <row r="890" spans="1:18" x14ac:dyDescent="0.25">
      <c r="A890" t="s">
        <v>3268</v>
      </c>
      <c r="B890" s="1">
        <v>45496</v>
      </c>
      <c r="C890">
        <v>2024</v>
      </c>
      <c r="D890" t="s">
        <v>28</v>
      </c>
      <c r="E890" t="s">
        <v>3269</v>
      </c>
      <c r="F890" t="s">
        <v>65</v>
      </c>
      <c r="G890">
        <v>2</v>
      </c>
      <c r="H890">
        <v>266.95</v>
      </c>
      <c r="I890" t="s">
        <v>3270</v>
      </c>
      <c r="J890" t="s">
        <v>39</v>
      </c>
      <c r="K890" t="s">
        <v>96</v>
      </c>
      <c r="L890" t="s">
        <v>3271</v>
      </c>
      <c r="M890">
        <v>3</v>
      </c>
      <c r="O890" t="s">
        <v>26</v>
      </c>
      <c r="P890">
        <v>533.9</v>
      </c>
      <c r="Q890">
        <v>533.9</v>
      </c>
      <c r="R890" t="str">
        <f>IF(OR(P890&lt;Outliers!$B$5, P890&gt;Outliers!$B$6), "outliers", "")</f>
        <v/>
      </c>
    </row>
    <row r="891" spans="1:18" x14ac:dyDescent="0.25">
      <c r="A891" t="s">
        <v>3272</v>
      </c>
      <c r="B891" s="1">
        <v>45592</v>
      </c>
      <c r="C891">
        <v>2024</v>
      </c>
      <c r="D891" t="s">
        <v>45</v>
      </c>
      <c r="E891" t="s">
        <v>3273</v>
      </c>
      <c r="F891" t="s">
        <v>20</v>
      </c>
      <c r="G891">
        <v>5</v>
      </c>
      <c r="H891">
        <v>650.72</v>
      </c>
      <c r="I891" t="s">
        <v>3274</v>
      </c>
      <c r="J891" t="s">
        <v>39</v>
      </c>
      <c r="K891" t="s">
        <v>40</v>
      </c>
      <c r="L891" t="s">
        <v>3275</v>
      </c>
      <c r="M891">
        <v>8</v>
      </c>
      <c r="N891" t="s">
        <v>88</v>
      </c>
      <c r="O891" t="s">
        <v>43</v>
      </c>
      <c r="P891">
        <v>3253.6</v>
      </c>
      <c r="Q891">
        <v>3253.6</v>
      </c>
      <c r="R891" t="str">
        <f>IF(OR(P891&lt;Outliers!$B$5, P891&gt;Outliers!$B$6), "outliers", "")</f>
        <v/>
      </c>
    </row>
    <row r="892" spans="1:18" x14ac:dyDescent="0.25">
      <c r="A892" t="s">
        <v>3276</v>
      </c>
      <c r="B892" s="1">
        <v>45149</v>
      </c>
      <c r="C892">
        <v>2023</v>
      </c>
      <c r="D892" t="s">
        <v>28</v>
      </c>
      <c r="E892" t="s">
        <v>3277</v>
      </c>
      <c r="F892" t="s">
        <v>65</v>
      </c>
      <c r="G892">
        <v>3</v>
      </c>
      <c r="H892">
        <v>439.53</v>
      </c>
      <c r="I892" t="s">
        <v>1856</v>
      </c>
      <c r="J892" t="s">
        <v>22</v>
      </c>
      <c r="K892" t="s">
        <v>96</v>
      </c>
      <c r="L892" t="s">
        <v>3278</v>
      </c>
      <c r="M892">
        <v>5</v>
      </c>
      <c r="O892" t="s">
        <v>83</v>
      </c>
      <c r="P892">
        <v>1318.59</v>
      </c>
      <c r="Q892">
        <v>1318.59</v>
      </c>
      <c r="R892" t="str">
        <f>IF(OR(P892&lt;Outliers!$B$5, P892&gt;Outliers!$B$6), "outliers", "")</f>
        <v/>
      </c>
    </row>
    <row r="893" spans="1:18" x14ac:dyDescent="0.25">
      <c r="A893" t="s">
        <v>3279</v>
      </c>
      <c r="B893" s="1">
        <v>45241</v>
      </c>
      <c r="C893">
        <v>2023</v>
      </c>
      <c r="D893" t="s">
        <v>45</v>
      </c>
      <c r="E893" t="s">
        <v>3280</v>
      </c>
      <c r="F893" t="s">
        <v>20</v>
      </c>
      <c r="G893">
        <v>3</v>
      </c>
      <c r="H893">
        <v>654.54</v>
      </c>
      <c r="I893" t="s">
        <v>3281</v>
      </c>
      <c r="J893" t="s">
        <v>72</v>
      </c>
      <c r="K893" t="s">
        <v>49</v>
      </c>
      <c r="L893" t="s">
        <v>3282</v>
      </c>
      <c r="M893">
        <v>7</v>
      </c>
      <c r="N893" t="s">
        <v>25</v>
      </c>
      <c r="O893" t="s">
        <v>34</v>
      </c>
      <c r="P893">
        <v>1963.62</v>
      </c>
      <c r="Q893">
        <v>1963.62</v>
      </c>
      <c r="R893" t="str">
        <f>IF(OR(P893&lt;Outliers!$B$5, P893&gt;Outliers!$B$6), "outliers", "")</f>
        <v/>
      </c>
    </row>
    <row r="894" spans="1:18" x14ac:dyDescent="0.25">
      <c r="A894" t="s">
        <v>3283</v>
      </c>
      <c r="B894" s="1">
        <v>45447</v>
      </c>
      <c r="C894">
        <v>2024</v>
      </c>
      <c r="D894" t="s">
        <v>53</v>
      </c>
      <c r="E894" t="s">
        <v>3284</v>
      </c>
      <c r="F894" t="s">
        <v>80</v>
      </c>
      <c r="G894">
        <v>1</v>
      </c>
      <c r="H894">
        <v>394.53</v>
      </c>
      <c r="I894" t="s">
        <v>3285</v>
      </c>
      <c r="J894" t="s">
        <v>72</v>
      </c>
      <c r="K894" t="s">
        <v>23</v>
      </c>
      <c r="L894" t="s">
        <v>3286</v>
      </c>
      <c r="M894">
        <v>2</v>
      </c>
      <c r="N894" t="s">
        <v>42</v>
      </c>
      <c r="O894" t="s">
        <v>34</v>
      </c>
      <c r="P894">
        <v>394.53</v>
      </c>
      <c r="Q894">
        <v>394.53</v>
      </c>
      <c r="R894" t="str">
        <f>IF(OR(P894&lt;Outliers!$B$5, P894&gt;Outliers!$B$6), "outliers", "")</f>
        <v/>
      </c>
    </row>
    <row r="895" spans="1:18" x14ac:dyDescent="0.25">
      <c r="A895" t="s">
        <v>3287</v>
      </c>
      <c r="B895" s="1">
        <v>45006</v>
      </c>
      <c r="C895">
        <v>2023</v>
      </c>
      <c r="D895" t="s">
        <v>18</v>
      </c>
      <c r="E895" t="s">
        <v>3288</v>
      </c>
      <c r="F895" t="s">
        <v>20</v>
      </c>
      <c r="G895">
        <v>1</v>
      </c>
      <c r="H895">
        <v>678.01</v>
      </c>
      <c r="I895" t="s">
        <v>1952</v>
      </c>
      <c r="J895" t="s">
        <v>72</v>
      </c>
      <c r="K895" t="s">
        <v>96</v>
      </c>
      <c r="L895" t="s">
        <v>3289</v>
      </c>
      <c r="M895">
        <v>4</v>
      </c>
      <c r="N895" t="s">
        <v>42</v>
      </c>
      <c r="O895" t="s">
        <v>34</v>
      </c>
      <c r="P895">
        <v>678.01</v>
      </c>
      <c r="Q895">
        <v>678.01</v>
      </c>
      <c r="R895" t="str">
        <f>IF(OR(P895&lt;Outliers!$B$5, P895&gt;Outliers!$B$6), "outliers", "")</f>
        <v/>
      </c>
    </row>
    <row r="896" spans="1:18" x14ac:dyDescent="0.25">
      <c r="A896" t="s">
        <v>3290</v>
      </c>
      <c r="B896" s="1">
        <v>45069</v>
      </c>
      <c r="C896">
        <v>2023</v>
      </c>
      <c r="D896" t="s">
        <v>53</v>
      </c>
      <c r="E896" t="s">
        <v>3291</v>
      </c>
      <c r="F896" t="s">
        <v>37</v>
      </c>
      <c r="G896">
        <v>3</v>
      </c>
      <c r="H896">
        <v>575.01</v>
      </c>
      <c r="I896" t="s">
        <v>2069</v>
      </c>
      <c r="J896" t="s">
        <v>32</v>
      </c>
      <c r="K896" t="s">
        <v>40</v>
      </c>
      <c r="L896" t="s">
        <v>3292</v>
      </c>
      <c r="M896">
        <v>8</v>
      </c>
      <c r="N896" t="s">
        <v>88</v>
      </c>
      <c r="O896" t="s">
        <v>26</v>
      </c>
      <c r="P896">
        <v>1725.03</v>
      </c>
      <c r="Q896">
        <v>1725.03</v>
      </c>
      <c r="R896" t="str">
        <f>IF(OR(P896&lt;Outliers!$B$5, P896&gt;Outliers!$B$6), "outliers", "")</f>
        <v/>
      </c>
    </row>
    <row r="897" spans="1:18" x14ac:dyDescent="0.25">
      <c r="A897" t="s">
        <v>3293</v>
      </c>
      <c r="B897" s="1">
        <v>45239</v>
      </c>
      <c r="C897">
        <v>2023</v>
      </c>
      <c r="D897" t="s">
        <v>45</v>
      </c>
      <c r="E897" t="s">
        <v>3294</v>
      </c>
      <c r="F897" t="s">
        <v>47</v>
      </c>
      <c r="G897">
        <v>3</v>
      </c>
      <c r="H897">
        <v>154.63999999999999</v>
      </c>
      <c r="I897" t="s">
        <v>3295</v>
      </c>
      <c r="J897" t="s">
        <v>22</v>
      </c>
      <c r="K897" t="s">
        <v>96</v>
      </c>
      <c r="L897" t="s">
        <v>3296</v>
      </c>
      <c r="M897">
        <v>6</v>
      </c>
      <c r="N897" t="s">
        <v>88</v>
      </c>
      <c r="O897" t="s">
        <v>51</v>
      </c>
      <c r="P897">
        <v>463.92</v>
      </c>
      <c r="Q897">
        <v>463.92</v>
      </c>
      <c r="R897" t="str">
        <f>IF(OR(P897&lt;Outliers!$B$5, P897&gt;Outliers!$B$6), "outliers", "")</f>
        <v/>
      </c>
    </row>
    <row r="898" spans="1:18" x14ac:dyDescent="0.25">
      <c r="A898" t="s">
        <v>3297</v>
      </c>
      <c r="B898" s="1">
        <v>45583</v>
      </c>
      <c r="C898">
        <v>2024</v>
      </c>
      <c r="D898" t="s">
        <v>45</v>
      </c>
      <c r="E898" t="s">
        <v>3298</v>
      </c>
      <c r="F898" t="s">
        <v>80</v>
      </c>
      <c r="G898">
        <v>3</v>
      </c>
      <c r="H898">
        <v>147.29</v>
      </c>
      <c r="I898" t="s">
        <v>81</v>
      </c>
      <c r="J898" t="s">
        <v>67</v>
      </c>
      <c r="K898" t="s">
        <v>23</v>
      </c>
      <c r="L898" t="s">
        <v>3299</v>
      </c>
      <c r="M898">
        <v>3</v>
      </c>
      <c r="N898" t="s">
        <v>42</v>
      </c>
      <c r="O898" t="s">
        <v>83</v>
      </c>
      <c r="P898">
        <v>441.87</v>
      </c>
      <c r="Q898">
        <v>441.87</v>
      </c>
      <c r="R898" t="str">
        <f>IF(OR(P898&lt;Outliers!$B$5, P898&gt;Outliers!$B$6), "outliers", "")</f>
        <v/>
      </c>
    </row>
    <row r="899" spans="1:18" x14ac:dyDescent="0.25">
      <c r="A899" t="s">
        <v>3300</v>
      </c>
      <c r="B899" s="1">
        <v>45538</v>
      </c>
      <c r="C899">
        <v>2024</v>
      </c>
      <c r="D899" t="s">
        <v>28</v>
      </c>
      <c r="E899" t="s">
        <v>3301</v>
      </c>
      <c r="F899" t="s">
        <v>65</v>
      </c>
      <c r="G899">
        <v>4</v>
      </c>
      <c r="H899">
        <v>481.48</v>
      </c>
      <c r="I899" t="s">
        <v>824</v>
      </c>
      <c r="J899" t="s">
        <v>67</v>
      </c>
      <c r="K899" t="s">
        <v>57</v>
      </c>
      <c r="L899" t="s">
        <v>3302</v>
      </c>
      <c r="M899">
        <v>5</v>
      </c>
      <c r="N899" t="s">
        <v>25</v>
      </c>
      <c r="O899" t="s">
        <v>26</v>
      </c>
      <c r="P899">
        <v>1925.92</v>
      </c>
      <c r="Q899">
        <v>1925.92</v>
      </c>
      <c r="R899" t="str">
        <f>IF(OR(P899&lt;Outliers!$B$5, P899&gt;Outliers!$B$6), "outliers", "")</f>
        <v/>
      </c>
    </row>
    <row r="900" spans="1:18" x14ac:dyDescent="0.25">
      <c r="A900" t="s">
        <v>3303</v>
      </c>
      <c r="B900" s="1">
        <v>45721</v>
      </c>
      <c r="C900">
        <v>2025</v>
      </c>
      <c r="D900" t="s">
        <v>18</v>
      </c>
      <c r="E900" t="s">
        <v>3304</v>
      </c>
      <c r="F900" t="s">
        <v>20</v>
      </c>
      <c r="G900">
        <v>3</v>
      </c>
      <c r="H900">
        <v>158.37</v>
      </c>
      <c r="I900" t="s">
        <v>3107</v>
      </c>
      <c r="J900" t="s">
        <v>72</v>
      </c>
      <c r="K900" t="s">
        <v>23</v>
      </c>
      <c r="L900" t="s">
        <v>3305</v>
      </c>
      <c r="M900">
        <v>6</v>
      </c>
      <c r="O900" t="s">
        <v>34</v>
      </c>
      <c r="P900">
        <v>475.11</v>
      </c>
      <c r="Q900">
        <v>475.11</v>
      </c>
      <c r="R900" t="str">
        <f>IF(OR(P900&lt;Outliers!$B$5, P900&gt;Outliers!$B$6), "outliers", "")</f>
        <v/>
      </c>
    </row>
    <row r="901" spans="1:18" x14ac:dyDescent="0.25">
      <c r="A901" t="s">
        <v>3306</v>
      </c>
      <c r="B901" s="1">
        <v>45770</v>
      </c>
      <c r="C901">
        <v>2025</v>
      </c>
      <c r="D901" t="s">
        <v>53</v>
      </c>
      <c r="E901" t="s">
        <v>3307</v>
      </c>
      <c r="F901" t="s">
        <v>55</v>
      </c>
      <c r="G901">
        <v>2</v>
      </c>
      <c r="H901">
        <v>323.37</v>
      </c>
      <c r="I901" t="s">
        <v>319</v>
      </c>
      <c r="J901" t="s">
        <v>32</v>
      </c>
      <c r="K901" t="s">
        <v>96</v>
      </c>
      <c r="L901" t="s">
        <v>3308</v>
      </c>
      <c r="M901">
        <v>3</v>
      </c>
      <c r="N901" t="s">
        <v>25</v>
      </c>
      <c r="O901" t="s">
        <v>26</v>
      </c>
      <c r="P901">
        <v>646.74</v>
      </c>
      <c r="Q901">
        <v>646.74</v>
      </c>
      <c r="R901" t="str">
        <f>IF(OR(P901&lt;Outliers!$B$5, P901&gt;Outliers!$B$6), "outliers", "")</f>
        <v/>
      </c>
    </row>
    <row r="902" spans="1:18" x14ac:dyDescent="0.25">
      <c r="A902" t="s">
        <v>3309</v>
      </c>
      <c r="B902" s="1">
        <v>45695</v>
      </c>
      <c r="C902">
        <v>2025</v>
      </c>
      <c r="D902" t="s">
        <v>18</v>
      </c>
      <c r="E902" t="s">
        <v>3310</v>
      </c>
      <c r="F902" t="s">
        <v>65</v>
      </c>
      <c r="G902">
        <v>5</v>
      </c>
      <c r="H902">
        <v>73.83</v>
      </c>
      <c r="I902" t="s">
        <v>2003</v>
      </c>
      <c r="J902" t="s">
        <v>22</v>
      </c>
      <c r="K902" t="s">
        <v>96</v>
      </c>
      <c r="L902" t="s">
        <v>3311</v>
      </c>
      <c r="M902">
        <v>9</v>
      </c>
      <c r="O902" t="s">
        <v>26</v>
      </c>
      <c r="P902">
        <v>369.15</v>
      </c>
      <c r="Q902">
        <v>369.15</v>
      </c>
      <c r="R902" t="str">
        <f>IF(OR(P902&lt;Outliers!$B$5, P902&gt;Outliers!$B$6), "outliers", "")</f>
        <v/>
      </c>
    </row>
    <row r="903" spans="1:18" x14ac:dyDescent="0.25">
      <c r="A903" t="s">
        <v>3312</v>
      </c>
      <c r="B903" s="1">
        <v>45410</v>
      </c>
      <c r="C903">
        <v>2024</v>
      </c>
      <c r="D903" t="s">
        <v>53</v>
      </c>
      <c r="E903" t="s">
        <v>3313</v>
      </c>
      <c r="F903" t="s">
        <v>37</v>
      </c>
      <c r="G903">
        <v>1</v>
      </c>
      <c r="H903">
        <v>458.63</v>
      </c>
      <c r="I903" t="s">
        <v>422</v>
      </c>
      <c r="J903" t="s">
        <v>22</v>
      </c>
      <c r="K903" t="s">
        <v>49</v>
      </c>
      <c r="L903" t="s">
        <v>3314</v>
      </c>
      <c r="M903">
        <v>4</v>
      </c>
      <c r="N903" t="s">
        <v>88</v>
      </c>
      <c r="O903" t="s">
        <v>34</v>
      </c>
      <c r="P903">
        <v>458.63</v>
      </c>
      <c r="Q903">
        <v>458.63</v>
      </c>
      <c r="R903" t="str">
        <f>IF(OR(P903&lt;Outliers!$B$5, P903&gt;Outliers!$B$6), "outliers", "")</f>
        <v/>
      </c>
    </row>
    <row r="904" spans="1:18" x14ac:dyDescent="0.25">
      <c r="A904" t="s">
        <v>3315</v>
      </c>
      <c r="B904" s="1">
        <v>45486</v>
      </c>
      <c r="C904">
        <v>2024</v>
      </c>
      <c r="D904" t="s">
        <v>28</v>
      </c>
      <c r="E904" t="s">
        <v>3316</v>
      </c>
      <c r="F904" t="s">
        <v>20</v>
      </c>
      <c r="G904">
        <v>4</v>
      </c>
      <c r="H904">
        <v>180.25</v>
      </c>
      <c r="I904" t="s">
        <v>296</v>
      </c>
      <c r="J904" t="s">
        <v>22</v>
      </c>
      <c r="K904" t="s">
        <v>40</v>
      </c>
      <c r="L904" t="s">
        <v>3317</v>
      </c>
      <c r="M904">
        <v>7</v>
      </c>
      <c r="O904" t="s">
        <v>51</v>
      </c>
      <c r="P904">
        <v>721</v>
      </c>
      <c r="Q904">
        <v>721</v>
      </c>
      <c r="R904" t="str">
        <f>IF(OR(P904&lt;Outliers!$B$5, P904&gt;Outliers!$B$6), "outliers", "")</f>
        <v/>
      </c>
    </row>
    <row r="905" spans="1:18" x14ac:dyDescent="0.25">
      <c r="A905" t="s">
        <v>3318</v>
      </c>
      <c r="B905" s="1">
        <v>45063</v>
      </c>
      <c r="C905">
        <v>2023</v>
      </c>
      <c r="D905" t="s">
        <v>53</v>
      </c>
      <c r="E905" t="s">
        <v>3319</v>
      </c>
      <c r="F905" t="s">
        <v>20</v>
      </c>
      <c r="G905">
        <v>3</v>
      </c>
      <c r="H905">
        <v>473.49</v>
      </c>
      <c r="I905" t="s">
        <v>2972</v>
      </c>
      <c r="J905" t="s">
        <v>39</v>
      </c>
      <c r="K905" t="s">
        <v>96</v>
      </c>
      <c r="L905" t="s">
        <v>3320</v>
      </c>
      <c r="M905">
        <v>7</v>
      </c>
      <c r="O905" t="s">
        <v>43</v>
      </c>
      <c r="P905">
        <v>1420.47</v>
      </c>
      <c r="Q905">
        <v>1420.47</v>
      </c>
      <c r="R905" t="str">
        <f>IF(OR(P905&lt;Outliers!$B$5, P905&gt;Outliers!$B$6), "outliers", "")</f>
        <v/>
      </c>
    </row>
    <row r="906" spans="1:18" x14ac:dyDescent="0.25">
      <c r="A906" t="s">
        <v>3321</v>
      </c>
      <c r="B906" s="1">
        <v>45693</v>
      </c>
      <c r="C906">
        <v>2025</v>
      </c>
      <c r="D906" t="s">
        <v>18</v>
      </c>
      <c r="E906" t="s">
        <v>3322</v>
      </c>
      <c r="F906" t="s">
        <v>20</v>
      </c>
      <c r="G906">
        <v>4</v>
      </c>
      <c r="H906">
        <v>237.43</v>
      </c>
      <c r="I906" t="s">
        <v>1734</v>
      </c>
      <c r="J906" t="s">
        <v>72</v>
      </c>
      <c r="K906" t="s">
        <v>40</v>
      </c>
      <c r="L906" t="s">
        <v>3323</v>
      </c>
      <c r="M906">
        <v>8</v>
      </c>
      <c r="N906" t="s">
        <v>88</v>
      </c>
      <c r="O906" t="s">
        <v>34</v>
      </c>
      <c r="P906">
        <v>949.72</v>
      </c>
      <c r="Q906">
        <v>949.72</v>
      </c>
      <c r="R906" t="str">
        <f>IF(OR(P906&lt;Outliers!$B$5, P906&gt;Outliers!$B$6), "outliers", "")</f>
        <v/>
      </c>
    </row>
    <row r="907" spans="1:18" x14ac:dyDescent="0.25">
      <c r="A907" t="s">
        <v>3324</v>
      </c>
      <c r="B907" s="1">
        <v>45253</v>
      </c>
      <c r="C907">
        <v>2023</v>
      </c>
      <c r="D907" t="s">
        <v>45</v>
      </c>
      <c r="E907" t="s">
        <v>3325</v>
      </c>
      <c r="F907" t="s">
        <v>65</v>
      </c>
      <c r="G907">
        <v>1</v>
      </c>
      <c r="H907">
        <v>442.39</v>
      </c>
      <c r="I907" t="s">
        <v>1263</v>
      </c>
      <c r="J907" t="s">
        <v>67</v>
      </c>
      <c r="K907" t="s">
        <v>96</v>
      </c>
      <c r="L907" t="s">
        <v>3326</v>
      </c>
      <c r="M907">
        <v>6</v>
      </c>
      <c r="N907" t="s">
        <v>42</v>
      </c>
      <c r="O907" t="s">
        <v>51</v>
      </c>
      <c r="P907">
        <v>442.39</v>
      </c>
      <c r="Q907">
        <v>442.39</v>
      </c>
      <c r="R907" t="str">
        <f>IF(OR(P907&lt;Outliers!$B$5, P907&gt;Outliers!$B$6), "outliers", "")</f>
        <v/>
      </c>
    </row>
    <row r="908" spans="1:18" x14ac:dyDescent="0.25">
      <c r="A908" t="s">
        <v>3327</v>
      </c>
      <c r="B908" s="1">
        <v>45538</v>
      </c>
      <c r="C908">
        <v>2024</v>
      </c>
      <c r="D908" t="s">
        <v>28</v>
      </c>
      <c r="E908" t="s">
        <v>3328</v>
      </c>
      <c r="F908" t="s">
        <v>20</v>
      </c>
      <c r="G908">
        <v>1</v>
      </c>
      <c r="H908">
        <v>62.12</v>
      </c>
      <c r="I908" t="s">
        <v>3329</v>
      </c>
      <c r="J908" t="s">
        <v>72</v>
      </c>
      <c r="K908" t="s">
        <v>49</v>
      </c>
      <c r="L908" t="s">
        <v>3330</v>
      </c>
      <c r="M908">
        <v>2</v>
      </c>
      <c r="O908" t="s">
        <v>43</v>
      </c>
      <c r="P908">
        <v>62.12</v>
      </c>
      <c r="Q908">
        <v>62.12</v>
      </c>
      <c r="R908" t="str">
        <f>IF(OR(P908&lt;Outliers!$B$5, P908&gt;Outliers!$B$6), "outliers", "")</f>
        <v/>
      </c>
    </row>
    <row r="909" spans="1:18" x14ac:dyDescent="0.25">
      <c r="A909" t="s">
        <v>3331</v>
      </c>
      <c r="B909" s="1">
        <v>45508</v>
      </c>
      <c r="C909">
        <v>2024</v>
      </c>
      <c r="D909" t="s">
        <v>28</v>
      </c>
      <c r="E909" t="s">
        <v>3332</v>
      </c>
      <c r="F909" t="s">
        <v>80</v>
      </c>
      <c r="G909">
        <v>5</v>
      </c>
      <c r="H909">
        <v>298.39</v>
      </c>
      <c r="I909" t="s">
        <v>568</v>
      </c>
      <c r="J909" t="s">
        <v>67</v>
      </c>
      <c r="K909" t="s">
        <v>40</v>
      </c>
      <c r="L909" t="s">
        <v>3333</v>
      </c>
      <c r="M909">
        <v>7</v>
      </c>
      <c r="N909" t="s">
        <v>88</v>
      </c>
      <c r="O909" t="s">
        <v>34</v>
      </c>
      <c r="P909">
        <v>1491.95</v>
      </c>
      <c r="Q909">
        <v>1491.95</v>
      </c>
      <c r="R909" t="str">
        <f>IF(OR(P909&lt;Outliers!$B$5, P909&gt;Outliers!$B$6), "outliers", "")</f>
        <v/>
      </c>
    </row>
    <row r="910" spans="1:18" x14ac:dyDescent="0.25">
      <c r="A910" t="s">
        <v>3334</v>
      </c>
      <c r="B910" s="1">
        <v>45783</v>
      </c>
      <c r="C910">
        <v>2025</v>
      </c>
      <c r="D910" t="s">
        <v>53</v>
      </c>
      <c r="E910" t="s">
        <v>3335</v>
      </c>
      <c r="F910" t="s">
        <v>80</v>
      </c>
      <c r="G910">
        <v>2</v>
      </c>
      <c r="H910">
        <v>697.93</v>
      </c>
      <c r="I910" t="s">
        <v>730</v>
      </c>
      <c r="J910" t="s">
        <v>39</v>
      </c>
      <c r="K910" t="s">
        <v>40</v>
      </c>
      <c r="L910" t="s">
        <v>3336</v>
      </c>
      <c r="M910">
        <v>2</v>
      </c>
      <c r="N910" t="s">
        <v>25</v>
      </c>
      <c r="O910" t="s">
        <v>83</v>
      </c>
      <c r="P910">
        <v>1395.86</v>
      </c>
      <c r="Q910">
        <v>1395.86</v>
      </c>
      <c r="R910" t="str">
        <f>IF(OR(P910&lt;Outliers!$B$5, P910&gt;Outliers!$B$6), "outliers", "")</f>
        <v/>
      </c>
    </row>
    <row r="911" spans="1:18" x14ac:dyDescent="0.25">
      <c r="A911" t="s">
        <v>3337</v>
      </c>
      <c r="B911" s="1">
        <v>45439</v>
      </c>
      <c r="C911">
        <v>2024</v>
      </c>
      <c r="D911" t="s">
        <v>53</v>
      </c>
      <c r="E911" t="s">
        <v>3338</v>
      </c>
      <c r="F911" t="s">
        <v>37</v>
      </c>
      <c r="G911">
        <v>2</v>
      </c>
      <c r="H911">
        <v>291.85000000000002</v>
      </c>
      <c r="I911" t="s">
        <v>132</v>
      </c>
      <c r="J911" t="s">
        <v>72</v>
      </c>
      <c r="K911" t="s">
        <v>23</v>
      </c>
      <c r="L911" t="s">
        <v>3339</v>
      </c>
      <c r="M911">
        <v>5</v>
      </c>
      <c r="N911" t="s">
        <v>42</v>
      </c>
      <c r="O911" t="s">
        <v>26</v>
      </c>
      <c r="P911">
        <v>583.70000000000005</v>
      </c>
      <c r="Q911">
        <v>583.70000000000005</v>
      </c>
      <c r="R911" t="str">
        <f>IF(OR(P911&lt;Outliers!$B$5, P911&gt;Outliers!$B$6), "outliers", "")</f>
        <v/>
      </c>
    </row>
    <row r="912" spans="1:18" x14ac:dyDescent="0.25">
      <c r="A912" t="s">
        <v>3340</v>
      </c>
      <c r="B912" s="1">
        <v>45443</v>
      </c>
      <c r="C912">
        <v>2024</v>
      </c>
      <c r="D912" t="s">
        <v>53</v>
      </c>
      <c r="E912" t="s">
        <v>3341</v>
      </c>
      <c r="F912" t="s">
        <v>55</v>
      </c>
      <c r="G912">
        <v>3</v>
      </c>
      <c r="H912">
        <v>308.98</v>
      </c>
      <c r="I912" t="s">
        <v>350</v>
      </c>
      <c r="J912" t="s">
        <v>72</v>
      </c>
      <c r="K912" t="s">
        <v>57</v>
      </c>
      <c r="L912" t="s">
        <v>3342</v>
      </c>
      <c r="M912">
        <v>3</v>
      </c>
      <c r="N912" t="s">
        <v>25</v>
      </c>
      <c r="O912" t="s">
        <v>26</v>
      </c>
      <c r="P912">
        <v>926.94</v>
      </c>
      <c r="Q912">
        <v>926.94</v>
      </c>
      <c r="R912" t="str">
        <f>IF(OR(P912&lt;Outliers!$B$5, P912&gt;Outliers!$B$6), "outliers", "")</f>
        <v/>
      </c>
    </row>
    <row r="913" spans="1:18" x14ac:dyDescent="0.25">
      <c r="A913" t="s">
        <v>3343</v>
      </c>
      <c r="B913" s="1">
        <v>45517</v>
      </c>
      <c r="C913">
        <v>2024</v>
      </c>
      <c r="D913" t="s">
        <v>28</v>
      </c>
      <c r="E913" t="s">
        <v>3344</v>
      </c>
      <c r="F913" t="s">
        <v>80</v>
      </c>
      <c r="G913">
        <v>5</v>
      </c>
      <c r="H913">
        <v>396.86</v>
      </c>
      <c r="I913" t="s">
        <v>509</v>
      </c>
      <c r="J913" t="s">
        <v>72</v>
      </c>
      <c r="K913" t="s">
        <v>40</v>
      </c>
      <c r="L913" t="s">
        <v>3345</v>
      </c>
      <c r="M913">
        <v>9</v>
      </c>
      <c r="N913" t="s">
        <v>25</v>
      </c>
      <c r="O913" t="s">
        <v>26</v>
      </c>
      <c r="P913">
        <v>1984.3</v>
      </c>
      <c r="Q913">
        <v>1984.3</v>
      </c>
      <c r="R913" t="str">
        <f>IF(OR(P913&lt;Outliers!$B$5, P913&gt;Outliers!$B$6), "outliers", "")</f>
        <v/>
      </c>
    </row>
    <row r="914" spans="1:18" x14ac:dyDescent="0.25">
      <c r="A914" t="s">
        <v>3346</v>
      </c>
      <c r="B914" s="1">
        <v>45313</v>
      </c>
      <c r="C914">
        <v>2024</v>
      </c>
      <c r="D914" t="s">
        <v>18</v>
      </c>
      <c r="E914" t="s">
        <v>3347</v>
      </c>
      <c r="F914" t="s">
        <v>80</v>
      </c>
      <c r="G914">
        <v>2</v>
      </c>
      <c r="H914">
        <v>139.69</v>
      </c>
      <c r="I914" t="s">
        <v>394</v>
      </c>
      <c r="J914" t="s">
        <v>32</v>
      </c>
      <c r="K914" t="s">
        <v>49</v>
      </c>
      <c r="L914" t="s">
        <v>3348</v>
      </c>
      <c r="M914">
        <v>7</v>
      </c>
      <c r="N914" t="s">
        <v>42</v>
      </c>
      <c r="O914" t="s">
        <v>43</v>
      </c>
      <c r="P914">
        <v>279.38</v>
      </c>
      <c r="Q914">
        <v>279.38</v>
      </c>
      <c r="R914" t="str">
        <f>IF(OR(P914&lt;Outliers!$B$5, P914&gt;Outliers!$B$6), "outliers", "")</f>
        <v/>
      </c>
    </row>
    <row r="915" spans="1:18" x14ac:dyDescent="0.25">
      <c r="A915" t="s">
        <v>3349</v>
      </c>
      <c r="B915" s="1">
        <v>44973</v>
      </c>
      <c r="C915">
        <v>2023</v>
      </c>
      <c r="D915" t="s">
        <v>18</v>
      </c>
      <c r="E915" t="s">
        <v>3350</v>
      </c>
      <c r="F915" t="s">
        <v>55</v>
      </c>
      <c r="G915">
        <v>5</v>
      </c>
      <c r="H915">
        <v>475.95</v>
      </c>
      <c r="I915" t="s">
        <v>794</v>
      </c>
      <c r="J915" t="s">
        <v>39</v>
      </c>
      <c r="K915" t="s">
        <v>49</v>
      </c>
      <c r="L915" t="s">
        <v>3351</v>
      </c>
      <c r="M915">
        <v>8</v>
      </c>
      <c r="N915" t="s">
        <v>88</v>
      </c>
      <c r="O915" t="s">
        <v>51</v>
      </c>
      <c r="P915">
        <v>2379.75</v>
      </c>
      <c r="Q915">
        <v>2379.75</v>
      </c>
      <c r="R915" t="str">
        <f>IF(OR(P915&lt;Outliers!$B$5, P915&gt;Outliers!$B$6), "outliers", "")</f>
        <v/>
      </c>
    </row>
    <row r="916" spans="1:18" x14ac:dyDescent="0.25">
      <c r="A916" t="s">
        <v>3352</v>
      </c>
      <c r="B916" s="1">
        <v>45698</v>
      </c>
      <c r="C916">
        <v>2025</v>
      </c>
      <c r="D916" t="s">
        <v>18</v>
      </c>
      <c r="E916" t="s">
        <v>3353</v>
      </c>
      <c r="F916" t="s">
        <v>80</v>
      </c>
      <c r="G916">
        <v>1</v>
      </c>
      <c r="H916">
        <v>626.6</v>
      </c>
      <c r="I916" t="s">
        <v>1700</v>
      </c>
      <c r="J916" t="s">
        <v>67</v>
      </c>
      <c r="K916" t="s">
        <v>49</v>
      </c>
      <c r="L916" t="s">
        <v>3354</v>
      </c>
      <c r="M916">
        <v>4</v>
      </c>
      <c r="N916" t="s">
        <v>88</v>
      </c>
      <c r="O916" t="s">
        <v>51</v>
      </c>
      <c r="P916">
        <v>626.6</v>
      </c>
      <c r="Q916">
        <v>626.6</v>
      </c>
      <c r="R916" t="str">
        <f>IF(OR(P916&lt;Outliers!$B$5, P916&gt;Outliers!$B$6), "outliers", "")</f>
        <v/>
      </c>
    </row>
    <row r="917" spans="1:18" x14ac:dyDescent="0.25">
      <c r="A917" t="s">
        <v>3355</v>
      </c>
      <c r="B917" s="1">
        <v>45338</v>
      </c>
      <c r="C917">
        <v>2024</v>
      </c>
      <c r="D917" t="s">
        <v>18</v>
      </c>
      <c r="E917" t="s">
        <v>3356</v>
      </c>
      <c r="F917" t="s">
        <v>65</v>
      </c>
      <c r="G917">
        <v>4</v>
      </c>
      <c r="H917">
        <v>502.99</v>
      </c>
      <c r="I917" t="s">
        <v>3357</v>
      </c>
      <c r="J917" t="s">
        <v>22</v>
      </c>
      <c r="K917" t="s">
        <v>23</v>
      </c>
      <c r="L917" t="s">
        <v>3358</v>
      </c>
      <c r="M917">
        <v>4</v>
      </c>
      <c r="N917" t="s">
        <v>88</v>
      </c>
      <c r="O917" t="s">
        <v>34</v>
      </c>
      <c r="P917">
        <v>2011.96</v>
      </c>
      <c r="Q917">
        <v>2011.96</v>
      </c>
      <c r="R917" t="str">
        <f>IF(OR(P917&lt;Outliers!$B$5, P917&gt;Outliers!$B$6), "outliers", "")</f>
        <v/>
      </c>
    </row>
    <row r="918" spans="1:18" x14ac:dyDescent="0.25">
      <c r="A918" t="s">
        <v>3359</v>
      </c>
      <c r="B918" s="1">
        <v>45464</v>
      </c>
      <c r="C918">
        <v>2024</v>
      </c>
      <c r="D918" t="s">
        <v>53</v>
      </c>
      <c r="E918" t="s">
        <v>3360</v>
      </c>
      <c r="F918" t="s">
        <v>55</v>
      </c>
      <c r="G918">
        <v>5</v>
      </c>
      <c r="H918">
        <v>578.83000000000004</v>
      </c>
      <c r="I918" t="s">
        <v>2852</v>
      </c>
      <c r="J918" t="s">
        <v>72</v>
      </c>
      <c r="K918" t="s">
        <v>49</v>
      </c>
      <c r="L918" t="s">
        <v>3361</v>
      </c>
      <c r="M918">
        <v>6</v>
      </c>
      <c r="O918" t="s">
        <v>34</v>
      </c>
      <c r="P918">
        <v>2894.15</v>
      </c>
      <c r="Q918">
        <v>2894.15</v>
      </c>
      <c r="R918" t="str">
        <f>IF(OR(P918&lt;Outliers!$B$5, P918&gt;Outliers!$B$6), "outliers", "")</f>
        <v/>
      </c>
    </row>
    <row r="919" spans="1:18" x14ac:dyDescent="0.25">
      <c r="A919" t="s">
        <v>3362</v>
      </c>
      <c r="B919" s="1">
        <v>45677</v>
      </c>
      <c r="C919">
        <v>2025</v>
      </c>
      <c r="D919" t="s">
        <v>18</v>
      </c>
      <c r="E919" t="s">
        <v>3363</v>
      </c>
      <c r="F919" t="s">
        <v>65</v>
      </c>
      <c r="G919">
        <v>5</v>
      </c>
      <c r="H919">
        <v>383.82</v>
      </c>
      <c r="I919" t="s">
        <v>3364</v>
      </c>
      <c r="J919" t="s">
        <v>39</v>
      </c>
      <c r="K919" t="s">
        <v>49</v>
      </c>
      <c r="L919" t="s">
        <v>3365</v>
      </c>
      <c r="M919">
        <v>7</v>
      </c>
      <c r="N919" t="s">
        <v>42</v>
      </c>
      <c r="O919" t="s">
        <v>83</v>
      </c>
      <c r="P919">
        <v>1919.1</v>
      </c>
      <c r="Q919">
        <v>1919.1</v>
      </c>
      <c r="R919" t="str">
        <f>IF(OR(P919&lt;Outliers!$B$5, P919&gt;Outliers!$B$6), "outliers", "")</f>
        <v/>
      </c>
    </row>
    <row r="920" spans="1:18" x14ac:dyDescent="0.25">
      <c r="A920" t="s">
        <v>3366</v>
      </c>
      <c r="B920" s="1">
        <v>45832</v>
      </c>
      <c r="C920">
        <v>2025</v>
      </c>
      <c r="D920" t="s">
        <v>53</v>
      </c>
      <c r="E920" t="s">
        <v>3367</v>
      </c>
      <c r="F920" t="s">
        <v>65</v>
      </c>
      <c r="G920">
        <v>5</v>
      </c>
      <c r="H920">
        <v>368.25</v>
      </c>
      <c r="I920" t="s">
        <v>71</v>
      </c>
      <c r="J920" t="s">
        <v>32</v>
      </c>
      <c r="K920" t="s">
        <v>57</v>
      </c>
      <c r="L920" t="s">
        <v>3368</v>
      </c>
      <c r="M920">
        <v>5</v>
      </c>
      <c r="O920" t="s">
        <v>26</v>
      </c>
      <c r="P920">
        <v>1841.25</v>
      </c>
      <c r="Q920">
        <v>1841.25</v>
      </c>
      <c r="R920" t="str">
        <f>IF(OR(P920&lt;Outliers!$B$5, P920&gt;Outliers!$B$6), "outliers", "")</f>
        <v/>
      </c>
    </row>
    <row r="921" spans="1:18" x14ac:dyDescent="0.25">
      <c r="A921" t="s">
        <v>3369</v>
      </c>
      <c r="B921" s="1">
        <v>45695</v>
      </c>
      <c r="C921">
        <v>2025</v>
      </c>
      <c r="D921" t="s">
        <v>18</v>
      </c>
      <c r="E921" t="s">
        <v>3370</v>
      </c>
      <c r="F921" t="s">
        <v>55</v>
      </c>
      <c r="G921">
        <v>2</v>
      </c>
      <c r="H921">
        <v>374.6</v>
      </c>
      <c r="I921" t="s">
        <v>517</v>
      </c>
      <c r="J921" t="s">
        <v>32</v>
      </c>
      <c r="K921" t="s">
        <v>23</v>
      </c>
      <c r="L921" t="s">
        <v>3371</v>
      </c>
      <c r="M921">
        <v>3</v>
      </c>
      <c r="N921" t="s">
        <v>42</v>
      </c>
      <c r="O921" t="s">
        <v>34</v>
      </c>
      <c r="P921">
        <v>749.2</v>
      </c>
      <c r="Q921">
        <v>749.2</v>
      </c>
      <c r="R921" t="str">
        <f>IF(OR(P921&lt;Outliers!$B$5, P921&gt;Outliers!$B$6), "outliers", "")</f>
        <v/>
      </c>
    </row>
    <row r="922" spans="1:18" x14ac:dyDescent="0.25">
      <c r="A922" t="s">
        <v>3372</v>
      </c>
      <c r="B922" s="1">
        <v>45728</v>
      </c>
      <c r="C922">
        <v>2025</v>
      </c>
      <c r="D922" t="s">
        <v>18</v>
      </c>
      <c r="E922" t="s">
        <v>3373</v>
      </c>
      <c r="F922" t="s">
        <v>37</v>
      </c>
      <c r="G922">
        <v>2</v>
      </c>
      <c r="H922">
        <v>428.09</v>
      </c>
      <c r="I922" t="s">
        <v>1251</v>
      </c>
      <c r="J922" t="s">
        <v>39</v>
      </c>
      <c r="K922" t="s">
        <v>49</v>
      </c>
      <c r="L922" t="s">
        <v>3374</v>
      </c>
      <c r="M922">
        <v>6</v>
      </c>
      <c r="O922" t="s">
        <v>26</v>
      </c>
      <c r="P922">
        <v>856.18</v>
      </c>
      <c r="Q922">
        <v>856.18</v>
      </c>
      <c r="R922" t="str">
        <f>IF(OR(P922&lt;Outliers!$B$5, P922&gt;Outliers!$B$6), "outliers", "")</f>
        <v/>
      </c>
    </row>
    <row r="923" spans="1:18" x14ac:dyDescent="0.25">
      <c r="A923" t="s">
        <v>3375</v>
      </c>
      <c r="B923" s="1">
        <v>45131</v>
      </c>
      <c r="C923">
        <v>2023</v>
      </c>
      <c r="D923" t="s">
        <v>28</v>
      </c>
      <c r="E923" t="s">
        <v>3376</v>
      </c>
      <c r="F923" t="s">
        <v>37</v>
      </c>
      <c r="G923">
        <v>1</v>
      </c>
      <c r="H923">
        <v>438.93</v>
      </c>
      <c r="I923" t="s">
        <v>3377</v>
      </c>
      <c r="J923" t="s">
        <v>67</v>
      </c>
      <c r="K923" t="s">
        <v>40</v>
      </c>
      <c r="L923" t="s">
        <v>3378</v>
      </c>
      <c r="M923">
        <v>3</v>
      </c>
      <c r="N923" t="s">
        <v>25</v>
      </c>
      <c r="O923" t="s">
        <v>34</v>
      </c>
      <c r="P923">
        <v>438.93</v>
      </c>
      <c r="Q923">
        <v>438.93</v>
      </c>
      <c r="R923" t="str">
        <f>IF(OR(P923&lt;Outliers!$B$5, P923&gt;Outliers!$B$6), "outliers", "")</f>
        <v/>
      </c>
    </row>
    <row r="924" spans="1:18" x14ac:dyDescent="0.25">
      <c r="A924" t="s">
        <v>3379</v>
      </c>
      <c r="B924" s="1">
        <v>45460</v>
      </c>
      <c r="C924">
        <v>2024</v>
      </c>
      <c r="D924" t="s">
        <v>53</v>
      </c>
      <c r="E924" t="s">
        <v>3380</v>
      </c>
      <c r="F924" t="s">
        <v>80</v>
      </c>
      <c r="G924">
        <v>2</v>
      </c>
      <c r="H924">
        <v>563.82000000000005</v>
      </c>
      <c r="I924" t="s">
        <v>3381</v>
      </c>
      <c r="J924" t="s">
        <v>39</v>
      </c>
      <c r="K924" t="s">
        <v>96</v>
      </c>
      <c r="L924" t="s">
        <v>3382</v>
      </c>
      <c r="M924">
        <v>3</v>
      </c>
      <c r="O924" t="s">
        <v>26</v>
      </c>
      <c r="P924">
        <v>1127.6400000000001</v>
      </c>
      <c r="Q924">
        <v>1127.6400000000001</v>
      </c>
      <c r="R924" t="str">
        <f>IF(OR(P924&lt;Outliers!$B$5, P924&gt;Outliers!$B$6), "outliers", "")</f>
        <v/>
      </c>
    </row>
    <row r="925" spans="1:18" x14ac:dyDescent="0.25">
      <c r="A925" t="s">
        <v>3383</v>
      </c>
      <c r="B925" s="1">
        <v>44968</v>
      </c>
      <c r="C925">
        <v>2023</v>
      </c>
      <c r="D925" t="s">
        <v>18</v>
      </c>
      <c r="E925" t="s">
        <v>3384</v>
      </c>
      <c r="F925" t="s">
        <v>55</v>
      </c>
      <c r="G925">
        <v>3</v>
      </c>
      <c r="H925">
        <v>649.92999999999995</v>
      </c>
      <c r="I925" t="s">
        <v>3364</v>
      </c>
      <c r="J925" t="s">
        <v>39</v>
      </c>
      <c r="K925" t="s">
        <v>96</v>
      </c>
      <c r="L925" t="s">
        <v>3385</v>
      </c>
      <c r="M925">
        <v>7</v>
      </c>
      <c r="N925" t="s">
        <v>88</v>
      </c>
      <c r="O925" t="s">
        <v>51</v>
      </c>
      <c r="P925">
        <v>1949.79</v>
      </c>
      <c r="Q925">
        <v>1949.79</v>
      </c>
      <c r="R925" t="str">
        <f>IF(OR(P925&lt;Outliers!$B$5, P925&gt;Outliers!$B$6), "outliers", "")</f>
        <v/>
      </c>
    </row>
    <row r="926" spans="1:18" x14ac:dyDescent="0.25">
      <c r="A926" t="s">
        <v>3386</v>
      </c>
      <c r="B926" s="1">
        <v>45738</v>
      </c>
      <c r="C926">
        <v>2025</v>
      </c>
      <c r="D926" t="s">
        <v>18</v>
      </c>
      <c r="E926" t="s">
        <v>3387</v>
      </c>
      <c r="F926" t="s">
        <v>55</v>
      </c>
      <c r="G926">
        <v>5</v>
      </c>
      <c r="H926">
        <v>268.43</v>
      </c>
      <c r="I926" t="s">
        <v>2003</v>
      </c>
      <c r="J926" t="s">
        <v>72</v>
      </c>
      <c r="K926" t="s">
        <v>49</v>
      </c>
      <c r="L926" t="s">
        <v>3388</v>
      </c>
      <c r="M926">
        <v>5</v>
      </c>
      <c r="N926" t="s">
        <v>25</v>
      </c>
      <c r="O926" t="s">
        <v>43</v>
      </c>
      <c r="P926">
        <v>1342.15</v>
      </c>
      <c r="Q926">
        <v>1342.15</v>
      </c>
      <c r="R926" t="str">
        <f>IF(OR(P926&lt;Outliers!$B$5, P926&gt;Outliers!$B$6), "outliers", "")</f>
        <v/>
      </c>
    </row>
    <row r="927" spans="1:18" x14ac:dyDescent="0.25">
      <c r="A927" t="s">
        <v>3389</v>
      </c>
      <c r="B927" s="1">
        <v>45646</v>
      </c>
      <c r="C927">
        <v>2024</v>
      </c>
      <c r="D927" t="s">
        <v>45</v>
      </c>
      <c r="E927" t="s">
        <v>3390</v>
      </c>
      <c r="F927" t="s">
        <v>20</v>
      </c>
      <c r="G927">
        <v>5</v>
      </c>
      <c r="H927">
        <v>502.47</v>
      </c>
      <c r="I927" t="s">
        <v>1571</v>
      </c>
      <c r="J927" t="s">
        <v>32</v>
      </c>
      <c r="K927" t="s">
        <v>23</v>
      </c>
      <c r="L927" t="s">
        <v>3391</v>
      </c>
      <c r="M927">
        <v>10</v>
      </c>
      <c r="N927" t="s">
        <v>88</v>
      </c>
      <c r="O927" t="s">
        <v>43</v>
      </c>
      <c r="P927">
        <v>2512.35</v>
      </c>
      <c r="Q927">
        <v>2512.35</v>
      </c>
      <c r="R927" t="str">
        <f>IF(OR(P927&lt;Outliers!$B$5, P927&gt;Outliers!$B$6), "outliers", "")</f>
        <v/>
      </c>
    </row>
    <row r="928" spans="1:18" x14ac:dyDescent="0.25">
      <c r="A928" t="s">
        <v>3392</v>
      </c>
      <c r="B928" s="1">
        <v>45371</v>
      </c>
      <c r="C928">
        <v>2024</v>
      </c>
      <c r="D928" t="s">
        <v>18</v>
      </c>
      <c r="E928" t="s">
        <v>3393</v>
      </c>
      <c r="F928" t="s">
        <v>80</v>
      </c>
      <c r="G928">
        <v>1</v>
      </c>
      <c r="H928">
        <v>26.95</v>
      </c>
      <c r="I928" t="s">
        <v>1822</v>
      </c>
      <c r="J928" t="s">
        <v>72</v>
      </c>
      <c r="K928" t="s">
        <v>57</v>
      </c>
      <c r="L928" t="s">
        <v>3394</v>
      </c>
      <c r="M928">
        <v>1</v>
      </c>
      <c r="N928" t="s">
        <v>88</v>
      </c>
      <c r="O928" t="s">
        <v>43</v>
      </c>
      <c r="P928">
        <v>26.95</v>
      </c>
      <c r="Q928">
        <v>26.95</v>
      </c>
      <c r="R928" t="str">
        <f>IF(OR(P928&lt;Outliers!$B$5, P928&gt;Outliers!$B$6), "outliers", "")</f>
        <v/>
      </c>
    </row>
    <row r="929" spans="1:18" x14ac:dyDescent="0.25">
      <c r="A929" t="s">
        <v>3395</v>
      </c>
      <c r="B929" s="1">
        <v>44971</v>
      </c>
      <c r="C929">
        <v>2023</v>
      </c>
      <c r="D929" t="s">
        <v>18</v>
      </c>
      <c r="E929" t="s">
        <v>3396</v>
      </c>
      <c r="F929" t="s">
        <v>65</v>
      </c>
      <c r="G929">
        <v>4</v>
      </c>
      <c r="H929">
        <v>64.69</v>
      </c>
      <c r="I929" t="s">
        <v>2564</v>
      </c>
      <c r="J929" t="s">
        <v>22</v>
      </c>
      <c r="K929" t="s">
        <v>23</v>
      </c>
      <c r="L929" t="s">
        <v>3397</v>
      </c>
      <c r="M929">
        <v>7</v>
      </c>
      <c r="N929" t="s">
        <v>88</v>
      </c>
      <c r="O929" t="s">
        <v>83</v>
      </c>
      <c r="P929">
        <v>258.76</v>
      </c>
      <c r="Q929">
        <v>258.76</v>
      </c>
      <c r="R929" t="str">
        <f>IF(OR(P929&lt;Outliers!$B$5, P929&gt;Outliers!$B$6), "outliers", "")</f>
        <v/>
      </c>
    </row>
    <row r="930" spans="1:18" x14ac:dyDescent="0.25">
      <c r="A930" t="s">
        <v>3398</v>
      </c>
      <c r="B930" s="1">
        <v>45421</v>
      </c>
      <c r="C930">
        <v>2024</v>
      </c>
      <c r="D930" t="s">
        <v>53</v>
      </c>
      <c r="E930" t="s">
        <v>3399</v>
      </c>
      <c r="F930" t="s">
        <v>65</v>
      </c>
      <c r="G930">
        <v>3</v>
      </c>
      <c r="H930">
        <v>247.11</v>
      </c>
      <c r="I930" t="s">
        <v>1022</v>
      </c>
      <c r="J930" t="s">
        <v>22</v>
      </c>
      <c r="K930" t="s">
        <v>49</v>
      </c>
      <c r="L930" t="s">
        <v>3400</v>
      </c>
      <c r="M930">
        <v>3</v>
      </c>
      <c r="N930" t="s">
        <v>88</v>
      </c>
      <c r="O930" t="s">
        <v>34</v>
      </c>
      <c r="P930">
        <v>741.33</v>
      </c>
      <c r="Q930">
        <v>741.33</v>
      </c>
      <c r="R930" t="str">
        <f>IF(OR(P930&lt;Outliers!$B$5, P930&gt;Outliers!$B$6), "outliers", "")</f>
        <v/>
      </c>
    </row>
    <row r="931" spans="1:18" x14ac:dyDescent="0.25">
      <c r="A931" t="s">
        <v>3401</v>
      </c>
      <c r="B931" s="1">
        <v>45581</v>
      </c>
      <c r="C931">
        <v>2024</v>
      </c>
      <c r="D931" t="s">
        <v>45</v>
      </c>
      <c r="E931" t="s">
        <v>3402</v>
      </c>
      <c r="F931" t="s">
        <v>37</v>
      </c>
      <c r="G931">
        <v>2</v>
      </c>
      <c r="H931">
        <v>536.25</v>
      </c>
      <c r="I931" t="s">
        <v>734</v>
      </c>
      <c r="J931" t="s">
        <v>22</v>
      </c>
      <c r="K931" t="s">
        <v>96</v>
      </c>
      <c r="L931" t="s">
        <v>3403</v>
      </c>
      <c r="M931">
        <v>3</v>
      </c>
      <c r="O931" t="s">
        <v>43</v>
      </c>
      <c r="P931">
        <v>1072.5</v>
      </c>
      <c r="Q931">
        <v>1072.5</v>
      </c>
      <c r="R931" t="str">
        <f>IF(OR(P931&lt;Outliers!$B$5, P931&gt;Outliers!$B$6), "outliers", "")</f>
        <v/>
      </c>
    </row>
    <row r="932" spans="1:18" x14ac:dyDescent="0.25">
      <c r="A932" t="s">
        <v>3404</v>
      </c>
      <c r="B932" s="1">
        <v>45642</v>
      </c>
      <c r="C932">
        <v>2024</v>
      </c>
      <c r="D932" t="s">
        <v>45</v>
      </c>
      <c r="E932" t="s">
        <v>3405</v>
      </c>
      <c r="F932" t="s">
        <v>30</v>
      </c>
      <c r="G932">
        <v>2</v>
      </c>
      <c r="H932">
        <v>456.04</v>
      </c>
      <c r="I932" t="s">
        <v>116</v>
      </c>
      <c r="J932" t="s">
        <v>22</v>
      </c>
      <c r="K932" t="s">
        <v>49</v>
      </c>
      <c r="L932" t="s">
        <v>3406</v>
      </c>
      <c r="M932">
        <v>4</v>
      </c>
      <c r="N932" t="s">
        <v>42</v>
      </c>
      <c r="O932" t="s">
        <v>43</v>
      </c>
      <c r="P932">
        <v>912.08</v>
      </c>
      <c r="Q932">
        <v>912.08</v>
      </c>
      <c r="R932" t="str">
        <f>IF(OR(P932&lt;Outliers!$B$5, P932&gt;Outliers!$B$6), "outliers", "")</f>
        <v/>
      </c>
    </row>
    <row r="933" spans="1:18" x14ac:dyDescent="0.25">
      <c r="A933" t="s">
        <v>3407</v>
      </c>
      <c r="B933" s="1">
        <v>45292</v>
      </c>
      <c r="C933">
        <v>2024</v>
      </c>
      <c r="D933" t="s">
        <v>18</v>
      </c>
      <c r="E933" t="s">
        <v>3408</v>
      </c>
      <c r="F933" t="s">
        <v>55</v>
      </c>
      <c r="G933">
        <v>2</v>
      </c>
      <c r="H933">
        <v>40.229999999999997</v>
      </c>
      <c r="I933" t="s">
        <v>260</v>
      </c>
      <c r="J933" t="s">
        <v>39</v>
      </c>
      <c r="K933" t="s">
        <v>40</v>
      </c>
      <c r="L933" t="s">
        <v>3409</v>
      </c>
      <c r="M933">
        <v>4</v>
      </c>
      <c r="N933" t="s">
        <v>25</v>
      </c>
      <c r="O933" t="s">
        <v>83</v>
      </c>
      <c r="P933">
        <v>80.459999999999994</v>
      </c>
      <c r="Q933">
        <v>80.459999999999994</v>
      </c>
      <c r="R933" t="str">
        <f>IF(OR(P933&lt;Outliers!$B$5, P933&gt;Outliers!$B$6), "outliers", "")</f>
        <v/>
      </c>
    </row>
    <row r="934" spans="1:18" x14ac:dyDescent="0.25">
      <c r="A934" t="s">
        <v>3410</v>
      </c>
      <c r="B934" s="1">
        <v>45011</v>
      </c>
      <c r="C934">
        <v>2023</v>
      </c>
      <c r="D934" t="s">
        <v>18</v>
      </c>
      <c r="E934" t="s">
        <v>3411</v>
      </c>
      <c r="F934" t="s">
        <v>65</v>
      </c>
      <c r="G934">
        <v>2</v>
      </c>
      <c r="H934">
        <v>72.39</v>
      </c>
      <c r="I934" t="s">
        <v>3412</v>
      </c>
      <c r="J934" t="s">
        <v>32</v>
      </c>
      <c r="K934" t="s">
        <v>57</v>
      </c>
      <c r="L934" t="s">
        <v>3413</v>
      </c>
      <c r="M934">
        <v>7</v>
      </c>
      <c r="N934" t="s">
        <v>88</v>
      </c>
      <c r="O934" t="s">
        <v>26</v>
      </c>
      <c r="P934">
        <v>144.78</v>
      </c>
      <c r="Q934">
        <v>144.78</v>
      </c>
      <c r="R934" t="str">
        <f>IF(OR(P934&lt;Outliers!$B$5, P934&gt;Outliers!$B$6), "outliers", "")</f>
        <v/>
      </c>
    </row>
    <row r="935" spans="1:18" x14ac:dyDescent="0.25">
      <c r="A935" t="s">
        <v>3414</v>
      </c>
      <c r="B935" s="1">
        <v>44952</v>
      </c>
      <c r="C935">
        <v>2023</v>
      </c>
      <c r="D935" t="s">
        <v>18</v>
      </c>
      <c r="E935" t="s">
        <v>3415</v>
      </c>
      <c r="F935" t="s">
        <v>20</v>
      </c>
      <c r="G935">
        <v>2</v>
      </c>
      <c r="H935">
        <v>394.16</v>
      </c>
      <c r="I935" t="s">
        <v>975</v>
      </c>
      <c r="J935" t="s">
        <v>32</v>
      </c>
      <c r="K935" t="s">
        <v>23</v>
      </c>
      <c r="L935" t="s">
        <v>3416</v>
      </c>
      <c r="M935">
        <v>2</v>
      </c>
      <c r="O935" t="s">
        <v>34</v>
      </c>
      <c r="P935">
        <v>788.32</v>
      </c>
      <c r="Q935">
        <v>788.32</v>
      </c>
      <c r="R935" t="str">
        <f>IF(OR(P935&lt;Outliers!$B$5, P935&gt;Outliers!$B$6), "outliers", "")</f>
        <v/>
      </c>
    </row>
    <row r="936" spans="1:18" x14ac:dyDescent="0.25">
      <c r="A936" t="s">
        <v>3417</v>
      </c>
      <c r="B936" s="1">
        <v>45809</v>
      </c>
      <c r="C936">
        <v>2025</v>
      </c>
      <c r="D936" t="s">
        <v>53</v>
      </c>
      <c r="E936" t="s">
        <v>3418</v>
      </c>
      <c r="F936" t="s">
        <v>65</v>
      </c>
      <c r="G936">
        <v>4</v>
      </c>
      <c r="H936">
        <v>119.84</v>
      </c>
      <c r="I936" t="s">
        <v>917</v>
      </c>
      <c r="J936" t="s">
        <v>67</v>
      </c>
      <c r="K936" t="s">
        <v>23</v>
      </c>
      <c r="L936" t="s">
        <v>3419</v>
      </c>
      <c r="M936">
        <v>8</v>
      </c>
      <c r="N936" t="s">
        <v>42</v>
      </c>
      <c r="O936" t="s">
        <v>34</v>
      </c>
      <c r="P936">
        <v>479.36</v>
      </c>
      <c r="Q936">
        <v>479.36</v>
      </c>
      <c r="R936" t="str">
        <f>IF(OR(P936&lt;Outliers!$B$5, P936&gt;Outliers!$B$6), "outliers", "")</f>
        <v/>
      </c>
    </row>
    <row r="937" spans="1:18" x14ac:dyDescent="0.25">
      <c r="A937" t="s">
        <v>3420</v>
      </c>
      <c r="B937" s="1">
        <v>45254</v>
      </c>
      <c r="C937">
        <v>2023</v>
      </c>
      <c r="D937" t="s">
        <v>45</v>
      </c>
      <c r="E937" t="s">
        <v>3421</v>
      </c>
      <c r="F937" t="s">
        <v>30</v>
      </c>
      <c r="G937">
        <v>3</v>
      </c>
      <c r="H937">
        <v>692.71</v>
      </c>
      <c r="I937" t="s">
        <v>1347</v>
      </c>
      <c r="J937" t="s">
        <v>39</v>
      </c>
      <c r="K937" t="s">
        <v>57</v>
      </c>
      <c r="L937" t="s">
        <v>3422</v>
      </c>
      <c r="M937">
        <v>3</v>
      </c>
      <c r="N937" t="s">
        <v>42</v>
      </c>
      <c r="O937" t="s">
        <v>26</v>
      </c>
      <c r="P937">
        <v>2078.13</v>
      </c>
      <c r="Q937">
        <v>2078.13</v>
      </c>
      <c r="R937" t="str">
        <f>IF(OR(P937&lt;Outliers!$B$5, P937&gt;Outliers!$B$6), "outliers", "")</f>
        <v/>
      </c>
    </row>
    <row r="938" spans="1:18" x14ac:dyDescent="0.25">
      <c r="A938" t="s">
        <v>3423</v>
      </c>
      <c r="B938" s="1">
        <v>45303</v>
      </c>
      <c r="C938">
        <v>2024</v>
      </c>
      <c r="D938" t="s">
        <v>18</v>
      </c>
      <c r="E938" t="s">
        <v>3424</v>
      </c>
      <c r="F938" t="s">
        <v>47</v>
      </c>
      <c r="G938">
        <v>4</v>
      </c>
      <c r="H938">
        <v>56.66</v>
      </c>
      <c r="I938" t="s">
        <v>666</v>
      </c>
      <c r="J938" t="s">
        <v>32</v>
      </c>
      <c r="K938" t="s">
        <v>57</v>
      </c>
      <c r="L938" t="s">
        <v>3425</v>
      </c>
      <c r="M938">
        <v>4</v>
      </c>
      <c r="N938" t="s">
        <v>25</v>
      </c>
      <c r="O938" t="s">
        <v>26</v>
      </c>
      <c r="P938">
        <v>226.64</v>
      </c>
      <c r="Q938">
        <v>226.64</v>
      </c>
      <c r="R938" t="str">
        <f>IF(OR(P938&lt;Outliers!$B$5, P938&gt;Outliers!$B$6), "outliers", "")</f>
        <v/>
      </c>
    </row>
    <row r="939" spans="1:18" x14ac:dyDescent="0.25">
      <c r="A939" t="s">
        <v>3426</v>
      </c>
      <c r="B939" s="1">
        <v>45307</v>
      </c>
      <c r="C939">
        <v>2024</v>
      </c>
      <c r="D939" t="s">
        <v>18</v>
      </c>
      <c r="E939" t="s">
        <v>3427</v>
      </c>
      <c r="F939" t="s">
        <v>47</v>
      </c>
      <c r="G939">
        <v>2</v>
      </c>
      <c r="H939">
        <v>298.52999999999997</v>
      </c>
      <c r="I939" t="s">
        <v>1597</v>
      </c>
      <c r="J939" t="s">
        <v>22</v>
      </c>
      <c r="K939" t="s">
        <v>40</v>
      </c>
      <c r="L939" t="s">
        <v>3428</v>
      </c>
      <c r="M939">
        <v>5</v>
      </c>
      <c r="N939" t="s">
        <v>88</v>
      </c>
      <c r="O939" t="s">
        <v>43</v>
      </c>
      <c r="P939">
        <v>597.05999999999995</v>
      </c>
      <c r="Q939">
        <v>597.05999999999995</v>
      </c>
      <c r="R939" t="str">
        <f>IF(OR(P939&lt;Outliers!$B$5, P939&gt;Outliers!$B$6), "outliers", "")</f>
        <v/>
      </c>
    </row>
    <row r="940" spans="1:18" x14ac:dyDescent="0.25">
      <c r="A940" t="s">
        <v>3429</v>
      </c>
      <c r="B940" s="1">
        <v>45119</v>
      </c>
      <c r="C940">
        <v>2023</v>
      </c>
      <c r="D940" t="s">
        <v>28</v>
      </c>
      <c r="E940" t="s">
        <v>3430</v>
      </c>
      <c r="F940" t="s">
        <v>47</v>
      </c>
      <c r="G940">
        <v>3</v>
      </c>
      <c r="H940">
        <v>331.46</v>
      </c>
      <c r="I940" t="s">
        <v>1952</v>
      </c>
      <c r="J940" t="s">
        <v>39</v>
      </c>
      <c r="K940" t="s">
        <v>40</v>
      </c>
      <c r="L940" t="s">
        <v>3431</v>
      </c>
      <c r="M940">
        <v>6</v>
      </c>
      <c r="N940" t="s">
        <v>88</v>
      </c>
      <c r="O940" t="s">
        <v>34</v>
      </c>
      <c r="P940">
        <v>994.38</v>
      </c>
      <c r="Q940">
        <v>994.38</v>
      </c>
      <c r="R940" t="str">
        <f>IF(OR(P940&lt;Outliers!$B$5, P940&gt;Outliers!$B$6), "outliers", "")</f>
        <v/>
      </c>
    </row>
    <row r="941" spans="1:18" x14ac:dyDescent="0.25">
      <c r="A941" t="s">
        <v>3432</v>
      </c>
      <c r="B941" s="1">
        <v>45763</v>
      </c>
      <c r="C941">
        <v>2025</v>
      </c>
      <c r="D941" t="s">
        <v>53</v>
      </c>
      <c r="E941" t="s">
        <v>3433</v>
      </c>
      <c r="F941" t="s">
        <v>65</v>
      </c>
      <c r="G941">
        <v>2</v>
      </c>
      <c r="H941">
        <v>521.4</v>
      </c>
      <c r="I941" t="s">
        <v>3434</v>
      </c>
      <c r="J941" t="s">
        <v>72</v>
      </c>
      <c r="K941" t="s">
        <v>57</v>
      </c>
      <c r="L941" t="s">
        <v>3435</v>
      </c>
      <c r="M941">
        <v>7</v>
      </c>
      <c r="N941" t="s">
        <v>25</v>
      </c>
      <c r="O941" t="s">
        <v>26</v>
      </c>
      <c r="P941">
        <v>1042.8</v>
      </c>
      <c r="Q941">
        <v>1042.8</v>
      </c>
      <c r="R941" t="str">
        <f>IF(OR(P941&lt;Outliers!$B$5, P941&gt;Outliers!$B$6), "outliers", "")</f>
        <v/>
      </c>
    </row>
    <row r="942" spans="1:18" x14ac:dyDescent="0.25">
      <c r="A942" t="s">
        <v>3436</v>
      </c>
      <c r="B942" s="1">
        <v>45012</v>
      </c>
      <c r="C942">
        <v>2023</v>
      </c>
      <c r="D942" t="s">
        <v>18</v>
      </c>
      <c r="E942" t="s">
        <v>3437</v>
      </c>
      <c r="F942" t="s">
        <v>55</v>
      </c>
      <c r="G942">
        <v>4</v>
      </c>
      <c r="H942">
        <v>305.32</v>
      </c>
      <c r="I942" t="s">
        <v>3438</v>
      </c>
      <c r="J942" t="s">
        <v>32</v>
      </c>
      <c r="K942" t="s">
        <v>40</v>
      </c>
      <c r="L942" t="s">
        <v>3439</v>
      </c>
      <c r="M942">
        <v>4</v>
      </c>
      <c r="N942" t="s">
        <v>25</v>
      </c>
      <c r="O942" t="s">
        <v>83</v>
      </c>
      <c r="P942">
        <v>1221.28</v>
      </c>
      <c r="Q942">
        <v>1221.28</v>
      </c>
      <c r="R942" t="str">
        <f>IF(OR(P942&lt;Outliers!$B$5, P942&gt;Outliers!$B$6), "outliers", "")</f>
        <v/>
      </c>
    </row>
    <row r="943" spans="1:18" x14ac:dyDescent="0.25">
      <c r="A943" t="s">
        <v>3440</v>
      </c>
      <c r="B943" s="1">
        <v>45124</v>
      </c>
      <c r="C943">
        <v>2023</v>
      </c>
      <c r="D943" t="s">
        <v>28</v>
      </c>
      <c r="E943" t="s">
        <v>1707</v>
      </c>
      <c r="F943" t="s">
        <v>55</v>
      </c>
      <c r="G943">
        <v>5</v>
      </c>
      <c r="H943">
        <v>111.7</v>
      </c>
      <c r="I943" t="s">
        <v>1339</v>
      </c>
      <c r="J943" t="s">
        <v>39</v>
      </c>
      <c r="K943" t="s">
        <v>40</v>
      </c>
      <c r="L943" t="s">
        <v>3441</v>
      </c>
      <c r="M943">
        <v>9</v>
      </c>
      <c r="N943" t="s">
        <v>42</v>
      </c>
      <c r="O943" t="s">
        <v>43</v>
      </c>
      <c r="P943">
        <v>558.5</v>
      </c>
      <c r="Q943">
        <v>558.5</v>
      </c>
      <c r="R943" t="str">
        <f>IF(OR(P943&lt;Outliers!$B$5, P943&gt;Outliers!$B$6), "outliers", "")</f>
        <v/>
      </c>
    </row>
    <row r="944" spans="1:18" x14ac:dyDescent="0.25">
      <c r="A944" t="s">
        <v>3442</v>
      </c>
      <c r="B944" s="1">
        <v>45198</v>
      </c>
      <c r="C944">
        <v>2023</v>
      </c>
      <c r="D944" t="s">
        <v>28</v>
      </c>
      <c r="E944" t="s">
        <v>3443</v>
      </c>
      <c r="F944" t="s">
        <v>37</v>
      </c>
      <c r="G944">
        <v>1</v>
      </c>
      <c r="H944">
        <v>479.76</v>
      </c>
      <c r="I944" t="s">
        <v>891</v>
      </c>
      <c r="J944" t="s">
        <v>39</v>
      </c>
      <c r="K944" t="s">
        <v>96</v>
      </c>
      <c r="L944" t="s">
        <v>3444</v>
      </c>
      <c r="M944">
        <v>1</v>
      </c>
      <c r="O944" t="s">
        <v>43</v>
      </c>
      <c r="P944">
        <v>479.76</v>
      </c>
      <c r="Q944">
        <v>479.76</v>
      </c>
      <c r="R944" t="str">
        <f>IF(OR(P944&lt;Outliers!$B$5, P944&gt;Outliers!$B$6), "outliers", "")</f>
        <v/>
      </c>
    </row>
    <row r="945" spans="1:18" x14ac:dyDescent="0.25">
      <c r="A945" t="s">
        <v>3445</v>
      </c>
      <c r="B945" s="1">
        <v>45287</v>
      </c>
      <c r="C945">
        <v>2023</v>
      </c>
      <c r="D945" t="s">
        <v>45</v>
      </c>
      <c r="E945" t="s">
        <v>3446</v>
      </c>
      <c r="F945" t="s">
        <v>20</v>
      </c>
      <c r="G945">
        <v>3</v>
      </c>
      <c r="H945">
        <v>193.49</v>
      </c>
      <c r="I945" t="s">
        <v>3447</v>
      </c>
      <c r="J945" t="s">
        <v>67</v>
      </c>
      <c r="K945" t="s">
        <v>49</v>
      </c>
      <c r="L945" t="s">
        <v>3448</v>
      </c>
      <c r="M945">
        <v>6</v>
      </c>
      <c r="N945" t="s">
        <v>42</v>
      </c>
      <c r="O945" t="s">
        <v>51</v>
      </c>
      <c r="P945">
        <v>580.47</v>
      </c>
      <c r="Q945">
        <v>580.47</v>
      </c>
      <c r="R945" t="str">
        <f>IF(OR(P945&lt;Outliers!$B$5, P945&gt;Outliers!$B$6), "outliers", "")</f>
        <v/>
      </c>
    </row>
    <row r="946" spans="1:18" x14ac:dyDescent="0.25">
      <c r="A946" t="s">
        <v>3449</v>
      </c>
      <c r="B946" s="1">
        <v>45642</v>
      </c>
      <c r="C946">
        <v>2024</v>
      </c>
      <c r="D946" t="s">
        <v>45</v>
      </c>
      <c r="E946" t="s">
        <v>3450</v>
      </c>
      <c r="F946" t="s">
        <v>65</v>
      </c>
      <c r="G946">
        <v>2</v>
      </c>
      <c r="H946">
        <v>426.22</v>
      </c>
      <c r="I946" t="s">
        <v>3217</v>
      </c>
      <c r="J946" t="s">
        <v>32</v>
      </c>
      <c r="K946" t="s">
        <v>57</v>
      </c>
      <c r="L946" t="s">
        <v>3451</v>
      </c>
      <c r="M946">
        <v>7</v>
      </c>
      <c r="N946" t="s">
        <v>88</v>
      </c>
      <c r="O946" t="s">
        <v>83</v>
      </c>
      <c r="P946">
        <v>852.44</v>
      </c>
      <c r="Q946">
        <v>852.44</v>
      </c>
      <c r="R946" t="str">
        <f>IF(OR(P946&lt;Outliers!$B$5, P946&gt;Outliers!$B$6), "outliers", "")</f>
        <v/>
      </c>
    </row>
    <row r="947" spans="1:18" x14ac:dyDescent="0.25">
      <c r="A947" t="s">
        <v>3452</v>
      </c>
      <c r="B947" s="1">
        <v>45158</v>
      </c>
      <c r="C947">
        <v>2023</v>
      </c>
      <c r="D947" t="s">
        <v>28</v>
      </c>
      <c r="E947" t="s">
        <v>3453</v>
      </c>
      <c r="F947" t="s">
        <v>37</v>
      </c>
      <c r="G947">
        <v>5</v>
      </c>
      <c r="H947">
        <v>276.44</v>
      </c>
      <c r="I947" t="s">
        <v>1359</v>
      </c>
      <c r="J947" t="s">
        <v>67</v>
      </c>
      <c r="K947" t="s">
        <v>23</v>
      </c>
      <c r="L947" t="s">
        <v>3454</v>
      </c>
      <c r="M947">
        <v>10</v>
      </c>
      <c r="N947" t="s">
        <v>42</v>
      </c>
      <c r="O947" t="s">
        <v>34</v>
      </c>
      <c r="P947">
        <v>1382.2</v>
      </c>
      <c r="Q947">
        <v>1382.2</v>
      </c>
      <c r="R947" t="str">
        <f>IF(OR(P947&lt;Outliers!$B$5, P947&gt;Outliers!$B$6), "outliers", "")</f>
        <v/>
      </c>
    </row>
    <row r="948" spans="1:18" x14ac:dyDescent="0.25">
      <c r="A948" t="s">
        <v>3455</v>
      </c>
      <c r="B948" s="1">
        <v>45416</v>
      </c>
      <c r="C948">
        <v>2024</v>
      </c>
      <c r="D948" t="s">
        <v>53</v>
      </c>
      <c r="E948" t="s">
        <v>3456</v>
      </c>
      <c r="F948" t="s">
        <v>30</v>
      </c>
      <c r="G948">
        <v>2</v>
      </c>
      <c r="H948">
        <v>404.96</v>
      </c>
      <c r="I948" t="s">
        <v>1306</v>
      </c>
      <c r="J948" t="s">
        <v>72</v>
      </c>
      <c r="K948" t="s">
        <v>23</v>
      </c>
      <c r="L948" t="s">
        <v>3457</v>
      </c>
      <c r="M948">
        <v>4</v>
      </c>
      <c r="N948" t="s">
        <v>25</v>
      </c>
      <c r="O948" t="s">
        <v>43</v>
      </c>
      <c r="P948">
        <v>809.92</v>
      </c>
      <c r="Q948">
        <v>809.92</v>
      </c>
      <c r="R948" t="str">
        <f>IF(OR(P948&lt;Outliers!$B$5, P948&gt;Outliers!$B$6), "outliers", "")</f>
        <v/>
      </c>
    </row>
    <row r="949" spans="1:18" x14ac:dyDescent="0.25">
      <c r="A949" t="s">
        <v>3458</v>
      </c>
      <c r="B949" s="1">
        <v>45176</v>
      </c>
      <c r="C949">
        <v>2023</v>
      </c>
      <c r="D949" t="s">
        <v>28</v>
      </c>
      <c r="E949" t="s">
        <v>3459</v>
      </c>
      <c r="F949" t="s">
        <v>30</v>
      </c>
      <c r="G949">
        <v>4</v>
      </c>
      <c r="H949">
        <v>465.66</v>
      </c>
      <c r="I949" t="s">
        <v>1096</v>
      </c>
      <c r="J949" t="s">
        <v>32</v>
      </c>
      <c r="K949" t="s">
        <v>49</v>
      </c>
      <c r="L949" t="s">
        <v>3460</v>
      </c>
      <c r="M949">
        <v>9</v>
      </c>
      <c r="N949" t="s">
        <v>42</v>
      </c>
      <c r="O949" t="s">
        <v>43</v>
      </c>
      <c r="P949">
        <v>1862.64</v>
      </c>
      <c r="Q949">
        <v>1862.64</v>
      </c>
      <c r="R949" t="str">
        <f>IF(OR(P949&lt;Outliers!$B$5, P949&gt;Outliers!$B$6), "outliers", "")</f>
        <v/>
      </c>
    </row>
    <row r="950" spans="1:18" x14ac:dyDescent="0.25">
      <c r="A950" t="s">
        <v>3461</v>
      </c>
      <c r="B950" s="1">
        <v>45464</v>
      </c>
      <c r="C950">
        <v>2024</v>
      </c>
      <c r="D950" t="s">
        <v>53</v>
      </c>
      <c r="E950" t="s">
        <v>1729</v>
      </c>
      <c r="F950" t="s">
        <v>30</v>
      </c>
      <c r="G950">
        <v>2</v>
      </c>
      <c r="H950">
        <v>594.07000000000005</v>
      </c>
      <c r="I950" t="s">
        <v>1801</v>
      </c>
      <c r="J950" t="s">
        <v>67</v>
      </c>
      <c r="K950" t="s">
        <v>40</v>
      </c>
      <c r="L950" t="s">
        <v>3462</v>
      </c>
      <c r="M950">
        <v>2</v>
      </c>
      <c r="O950" t="s">
        <v>83</v>
      </c>
      <c r="P950">
        <v>1188.1400000000001</v>
      </c>
      <c r="Q950">
        <v>1188.1400000000001</v>
      </c>
      <c r="R950" t="str">
        <f>IF(OR(P950&lt;Outliers!$B$5, P950&gt;Outliers!$B$6), "outliers", "")</f>
        <v/>
      </c>
    </row>
    <row r="951" spans="1:18" x14ac:dyDescent="0.25">
      <c r="A951" t="s">
        <v>3463</v>
      </c>
      <c r="B951" s="1">
        <v>45239</v>
      </c>
      <c r="C951">
        <v>2023</v>
      </c>
      <c r="D951" t="s">
        <v>45</v>
      </c>
      <c r="E951" t="s">
        <v>3464</v>
      </c>
      <c r="F951" t="s">
        <v>80</v>
      </c>
      <c r="G951">
        <v>5</v>
      </c>
      <c r="H951">
        <v>110.38</v>
      </c>
      <c r="I951" t="s">
        <v>1567</v>
      </c>
      <c r="J951" t="s">
        <v>72</v>
      </c>
      <c r="K951" t="s">
        <v>96</v>
      </c>
      <c r="L951" t="s">
        <v>3465</v>
      </c>
      <c r="M951">
        <v>10</v>
      </c>
      <c r="O951" t="s">
        <v>34</v>
      </c>
      <c r="P951">
        <v>551.9</v>
      </c>
      <c r="Q951">
        <v>551.9</v>
      </c>
      <c r="R951" t="str">
        <f>IF(OR(P951&lt;Outliers!$B$5, P951&gt;Outliers!$B$6), "outliers", "")</f>
        <v/>
      </c>
    </row>
    <row r="952" spans="1:18" x14ac:dyDescent="0.25">
      <c r="A952" t="s">
        <v>3466</v>
      </c>
      <c r="B952" s="1">
        <v>45443</v>
      </c>
      <c r="C952">
        <v>2024</v>
      </c>
      <c r="D952" t="s">
        <v>53</v>
      </c>
      <c r="E952" t="s">
        <v>3467</v>
      </c>
      <c r="F952" t="s">
        <v>65</v>
      </c>
      <c r="G952">
        <v>1</v>
      </c>
      <c r="H952">
        <v>596.24</v>
      </c>
      <c r="I952" t="s">
        <v>120</v>
      </c>
      <c r="J952" t="s">
        <v>39</v>
      </c>
      <c r="K952" t="s">
        <v>49</v>
      </c>
      <c r="L952" t="s">
        <v>3468</v>
      </c>
      <c r="M952">
        <v>4</v>
      </c>
      <c r="N952" t="s">
        <v>42</v>
      </c>
      <c r="O952" t="s">
        <v>26</v>
      </c>
      <c r="P952">
        <v>596.24</v>
      </c>
      <c r="Q952">
        <v>596.24</v>
      </c>
      <c r="R952" t="str">
        <f>IF(OR(P952&lt;Outliers!$B$5, P952&gt;Outliers!$B$6), "outliers", "")</f>
        <v/>
      </c>
    </row>
    <row r="953" spans="1:18" x14ac:dyDescent="0.25">
      <c r="A953" t="s">
        <v>3469</v>
      </c>
      <c r="B953" s="1">
        <v>45495</v>
      </c>
      <c r="C953">
        <v>2024</v>
      </c>
      <c r="D953" t="s">
        <v>28</v>
      </c>
      <c r="E953" t="s">
        <v>3470</v>
      </c>
      <c r="F953" t="s">
        <v>55</v>
      </c>
      <c r="G953">
        <v>2</v>
      </c>
      <c r="H953">
        <v>306.24</v>
      </c>
      <c r="I953" t="s">
        <v>1073</v>
      </c>
      <c r="J953" t="s">
        <v>32</v>
      </c>
      <c r="K953" t="s">
        <v>49</v>
      </c>
      <c r="L953" t="s">
        <v>3471</v>
      </c>
      <c r="M953">
        <v>4</v>
      </c>
      <c r="N953" t="s">
        <v>42</v>
      </c>
      <c r="O953" t="s">
        <v>43</v>
      </c>
      <c r="P953">
        <v>612.48</v>
      </c>
      <c r="Q953">
        <v>612.48</v>
      </c>
      <c r="R953" t="str">
        <f>IF(OR(P953&lt;Outliers!$B$5, P953&gt;Outliers!$B$6), "outliers", "")</f>
        <v/>
      </c>
    </row>
    <row r="954" spans="1:18" x14ac:dyDescent="0.25">
      <c r="A954" t="s">
        <v>3472</v>
      </c>
      <c r="B954" s="1">
        <v>45715</v>
      </c>
      <c r="C954">
        <v>2025</v>
      </c>
      <c r="D954" t="s">
        <v>18</v>
      </c>
      <c r="E954" t="s">
        <v>3473</v>
      </c>
      <c r="F954" t="s">
        <v>20</v>
      </c>
      <c r="G954">
        <v>3</v>
      </c>
      <c r="H954">
        <v>503.39</v>
      </c>
      <c r="I954" t="s">
        <v>3474</v>
      </c>
      <c r="J954" t="s">
        <v>32</v>
      </c>
      <c r="K954" t="s">
        <v>96</v>
      </c>
      <c r="L954" t="s">
        <v>3475</v>
      </c>
      <c r="M954">
        <v>5</v>
      </c>
      <c r="O954" t="s">
        <v>51</v>
      </c>
      <c r="P954">
        <v>1510.17</v>
      </c>
      <c r="Q954">
        <v>1510.17</v>
      </c>
      <c r="R954" t="str">
        <f>IF(OR(P954&lt;Outliers!$B$5, P954&gt;Outliers!$B$6), "outliers", "")</f>
        <v/>
      </c>
    </row>
    <row r="955" spans="1:18" x14ac:dyDescent="0.25">
      <c r="A955" t="s">
        <v>3476</v>
      </c>
      <c r="B955" s="1">
        <v>44963</v>
      </c>
      <c r="C955">
        <v>2023</v>
      </c>
      <c r="D955" t="s">
        <v>18</v>
      </c>
      <c r="E955" t="s">
        <v>3477</v>
      </c>
      <c r="F955" t="s">
        <v>30</v>
      </c>
      <c r="G955">
        <v>1</v>
      </c>
      <c r="H955">
        <v>131.61000000000001</v>
      </c>
      <c r="I955" t="s">
        <v>370</v>
      </c>
      <c r="J955" t="s">
        <v>72</v>
      </c>
      <c r="K955" t="s">
        <v>23</v>
      </c>
      <c r="L955" t="s">
        <v>3478</v>
      </c>
      <c r="M955">
        <v>2</v>
      </c>
      <c r="N955" t="s">
        <v>42</v>
      </c>
      <c r="O955" t="s">
        <v>51</v>
      </c>
      <c r="P955">
        <v>131.61000000000001</v>
      </c>
      <c r="Q955">
        <v>131.61000000000001</v>
      </c>
      <c r="R955" t="str">
        <f>IF(OR(P955&lt;Outliers!$B$5, P955&gt;Outliers!$B$6), "outliers", "")</f>
        <v/>
      </c>
    </row>
    <row r="956" spans="1:18" x14ac:dyDescent="0.25">
      <c r="A956" t="s">
        <v>3479</v>
      </c>
      <c r="B956" s="1">
        <v>45587</v>
      </c>
      <c r="C956">
        <v>2024</v>
      </c>
      <c r="D956" t="s">
        <v>45</v>
      </c>
      <c r="E956" t="s">
        <v>3480</v>
      </c>
      <c r="F956" t="s">
        <v>47</v>
      </c>
      <c r="G956">
        <v>3</v>
      </c>
      <c r="H956">
        <v>443.44</v>
      </c>
      <c r="I956" t="s">
        <v>674</v>
      </c>
      <c r="J956" t="s">
        <v>67</v>
      </c>
      <c r="K956" t="s">
        <v>23</v>
      </c>
      <c r="L956" t="s">
        <v>3481</v>
      </c>
      <c r="M956">
        <v>3</v>
      </c>
      <c r="N956" t="s">
        <v>42</v>
      </c>
      <c r="O956" t="s">
        <v>83</v>
      </c>
      <c r="P956">
        <v>1330.32</v>
      </c>
      <c r="Q956">
        <v>1330.32</v>
      </c>
      <c r="R956" t="str">
        <f>IF(OR(P956&lt;Outliers!$B$5, P956&gt;Outliers!$B$6), "outliers", "")</f>
        <v/>
      </c>
    </row>
    <row r="957" spans="1:18" x14ac:dyDescent="0.25">
      <c r="A957" t="s">
        <v>3482</v>
      </c>
      <c r="B957" s="1">
        <v>44949</v>
      </c>
      <c r="C957">
        <v>2023</v>
      </c>
      <c r="D957" t="s">
        <v>18</v>
      </c>
      <c r="E957" t="s">
        <v>3483</v>
      </c>
      <c r="F957" t="s">
        <v>47</v>
      </c>
      <c r="G957">
        <v>1</v>
      </c>
      <c r="H957">
        <v>408.13</v>
      </c>
      <c r="I957" t="s">
        <v>999</v>
      </c>
      <c r="J957" t="s">
        <v>67</v>
      </c>
      <c r="K957" t="s">
        <v>23</v>
      </c>
      <c r="L957" t="s">
        <v>3484</v>
      </c>
      <c r="M957">
        <v>3</v>
      </c>
      <c r="N957" t="s">
        <v>88</v>
      </c>
      <c r="O957" t="s">
        <v>26</v>
      </c>
      <c r="P957">
        <v>408.13</v>
      </c>
      <c r="Q957">
        <v>408.13</v>
      </c>
      <c r="R957" t="str">
        <f>IF(OR(P957&lt;Outliers!$B$5, P957&gt;Outliers!$B$6), "outliers", "")</f>
        <v/>
      </c>
    </row>
    <row r="958" spans="1:18" x14ac:dyDescent="0.25">
      <c r="A958" t="s">
        <v>3485</v>
      </c>
      <c r="B958" s="1">
        <v>45393</v>
      </c>
      <c r="C958">
        <v>2024</v>
      </c>
      <c r="D958" t="s">
        <v>53</v>
      </c>
      <c r="E958" t="s">
        <v>2906</v>
      </c>
      <c r="F958" t="s">
        <v>30</v>
      </c>
      <c r="G958">
        <v>2</v>
      </c>
      <c r="H958">
        <v>160.97999999999999</v>
      </c>
      <c r="I958" t="s">
        <v>3486</v>
      </c>
      <c r="J958" t="s">
        <v>22</v>
      </c>
      <c r="K958" t="s">
        <v>57</v>
      </c>
      <c r="L958" t="s">
        <v>3487</v>
      </c>
      <c r="M958">
        <v>3</v>
      </c>
      <c r="N958" t="s">
        <v>25</v>
      </c>
      <c r="O958" t="s">
        <v>34</v>
      </c>
      <c r="P958">
        <v>321.95999999999998</v>
      </c>
      <c r="Q958">
        <v>321.95999999999998</v>
      </c>
      <c r="R958" t="str">
        <f>IF(OR(P958&lt;Outliers!$B$5, P958&gt;Outliers!$B$6), "outliers", "")</f>
        <v/>
      </c>
    </row>
    <row r="959" spans="1:18" x14ac:dyDescent="0.25">
      <c r="A959" t="s">
        <v>3488</v>
      </c>
      <c r="B959" s="1">
        <v>44938</v>
      </c>
      <c r="C959">
        <v>2023</v>
      </c>
      <c r="D959" t="s">
        <v>18</v>
      </c>
      <c r="E959" t="s">
        <v>3489</v>
      </c>
      <c r="F959" t="s">
        <v>20</v>
      </c>
      <c r="G959">
        <v>5</v>
      </c>
      <c r="H959">
        <v>643.89</v>
      </c>
      <c r="I959" t="s">
        <v>3490</v>
      </c>
      <c r="J959" t="s">
        <v>72</v>
      </c>
      <c r="K959" t="s">
        <v>49</v>
      </c>
      <c r="L959" t="s">
        <v>3491</v>
      </c>
      <c r="M959">
        <v>8</v>
      </c>
      <c r="N959" t="s">
        <v>88</v>
      </c>
      <c r="O959" t="s">
        <v>51</v>
      </c>
      <c r="P959">
        <v>3219.45</v>
      </c>
      <c r="Q959">
        <v>3219.45</v>
      </c>
      <c r="R959" t="str">
        <f>IF(OR(P959&lt;Outliers!$B$5, P959&gt;Outliers!$B$6), "outliers", "")</f>
        <v/>
      </c>
    </row>
    <row r="960" spans="1:18" x14ac:dyDescent="0.25">
      <c r="A960" t="s">
        <v>3492</v>
      </c>
      <c r="B960" s="1">
        <v>45059</v>
      </c>
      <c r="C960">
        <v>2023</v>
      </c>
      <c r="D960" t="s">
        <v>53</v>
      </c>
      <c r="E960" t="s">
        <v>3493</v>
      </c>
      <c r="F960" t="s">
        <v>80</v>
      </c>
      <c r="G960">
        <v>3</v>
      </c>
      <c r="H960">
        <v>158.66</v>
      </c>
      <c r="I960" t="s">
        <v>1158</v>
      </c>
      <c r="J960" t="s">
        <v>67</v>
      </c>
      <c r="K960" t="s">
        <v>57</v>
      </c>
      <c r="L960" t="s">
        <v>3494</v>
      </c>
      <c r="M960">
        <v>7</v>
      </c>
      <c r="N960" t="s">
        <v>88</v>
      </c>
      <c r="O960" t="s">
        <v>43</v>
      </c>
      <c r="P960">
        <v>475.98</v>
      </c>
      <c r="Q960">
        <v>475.98</v>
      </c>
      <c r="R960" t="str">
        <f>IF(OR(P960&lt;Outliers!$B$5, P960&gt;Outliers!$B$6), "outliers", "")</f>
        <v/>
      </c>
    </row>
    <row r="961" spans="1:18" x14ac:dyDescent="0.25">
      <c r="A961" t="s">
        <v>3495</v>
      </c>
      <c r="B961" s="1">
        <v>45395</v>
      </c>
      <c r="C961">
        <v>2024</v>
      </c>
      <c r="D961" t="s">
        <v>53</v>
      </c>
      <c r="E961" t="s">
        <v>3496</v>
      </c>
      <c r="F961" t="s">
        <v>37</v>
      </c>
      <c r="G961">
        <v>2</v>
      </c>
      <c r="H961">
        <v>143.82</v>
      </c>
      <c r="I961" t="s">
        <v>1197</v>
      </c>
      <c r="J961" t="s">
        <v>39</v>
      </c>
      <c r="K961" t="s">
        <v>49</v>
      </c>
      <c r="L961" t="s">
        <v>3497</v>
      </c>
      <c r="M961">
        <v>6</v>
      </c>
      <c r="N961" t="s">
        <v>25</v>
      </c>
      <c r="O961" t="s">
        <v>26</v>
      </c>
      <c r="P961">
        <v>287.64</v>
      </c>
      <c r="Q961">
        <v>287.64</v>
      </c>
      <c r="R961" t="str">
        <f>IF(OR(P961&lt;Outliers!$B$5, P961&gt;Outliers!$B$6), "outliers", "")</f>
        <v/>
      </c>
    </row>
    <row r="962" spans="1:18" x14ac:dyDescent="0.25">
      <c r="A962" t="s">
        <v>3498</v>
      </c>
      <c r="B962" s="1">
        <v>45271</v>
      </c>
      <c r="C962">
        <v>2023</v>
      </c>
      <c r="D962" t="s">
        <v>45</v>
      </c>
      <c r="E962" t="s">
        <v>3499</v>
      </c>
      <c r="F962" t="s">
        <v>65</v>
      </c>
      <c r="G962">
        <v>3</v>
      </c>
      <c r="H962">
        <v>379.07</v>
      </c>
      <c r="I962" t="s">
        <v>1438</v>
      </c>
      <c r="J962" t="s">
        <v>67</v>
      </c>
      <c r="K962" t="s">
        <v>96</v>
      </c>
      <c r="L962" t="s">
        <v>3500</v>
      </c>
      <c r="M962">
        <v>3</v>
      </c>
      <c r="N962" t="s">
        <v>88</v>
      </c>
      <c r="O962" t="s">
        <v>83</v>
      </c>
      <c r="P962">
        <v>1137.21</v>
      </c>
      <c r="Q962">
        <v>1137.21</v>
      </c>
      <c r="R962" t="str">
        <f>IF(OR(P962&lt;Outliers!$B$5, P962&gt;Outliers!$B$6), "outliers", "")</f>
        <v/>
      </c>
    </row>
    <row r="963" spans="1:18" x14ac:dyDescent="0.25">
      <c r="A963" t="s">
        <v>3501</v>
      </c>
      <c r="B963" s="1">
        <v>45607</v>
      </c>
      <c r="C963">
        <v>2024</v>
      </c>
      <c r="D963" t="s">
        <v>45</v>
      </c>
      <c r="E963" t="s">
        <v>3502</v>
      </c>
      <c r="F963" t="s">
        <v>30</v>
      </c>
      <c r="G963">
        <v>1</v>
      </c>
      <c r="H963">
        <v>601.36</v>
      </c>
      <c r="I963" t="s">
        <v>1313</v>
      </c>
      <c r="J963" t="s">
        <v>32</v>
      </c>
      <c r="K963" t="s">
        <v>23</v>
      </c>
      <c r="L963" t="s">
        <v>3503</v>
      </c>
      <c r="M963">
        <v>1</v>
      </c>
      <c r="O963" t="s">
        <v>51</v>
      </c>
      <c r="P963">
        <v>601.36</v>
      </c>
      <c r="Q963">
        <v>601.36</v>
      </c>
      <c r="R963" t="str">
        <f>IF(OR(P963&lt;Outliers!$B$5, P963&gt;Outliers!$B$6), "outliers", "")</f>
        <v/>
      </c>
    </row>
    <row r="964" spans="1:18" x14ac:dyDescent="0.25">
      <c r="A964" t="s">
        <v>3504</v>
      </c>
      <c r="B964" s="1">
        <v>45541</v>
      </c>
      <c r="C964">
        <v>2024</v>
      </c>
      <c r="D964" t="s">
        <v>28</v>
      </c>
      <c r="E964" t="s">
        <v>3505</v>
      </c>
      <c r="F964" t="s">
        <v>30</v>
      </c>
      <c r="G964">
        <v>2</v>
      </c>
      <c r="H964">
        <v>142.08000000000001</v>
      </c>
      <c r="I964" t="s">
        <v>991</v>
      </c>
      <c r="J964" t="s">
        <v>67</v>
      </c>
      <c r="K964" t="s">
        <v>57</v>
      </c>
      <c r="L964" t="s">
        <v>3506</v>
      </c>
      <c r="M964">
        <v>4</v>
      </c>
      <c r="N964" t="s">
        <v>25</v>
      </c>
      <c r="O964" t="s">
        <v>34</v>
      </c>
      <c r="P964">
        <v>284.16000000000003</v>
      </c>
      <c r="Q964">
        <v>284.16000000000003</v>
      </c>
      <c r="R964" t="str">
        <f>IF(OR(P964&lt;Outliers!$B$5, P964&gt;Outliers!$B$6), "outliers", "")</f>
        <v/>
      </c>
    </row>
    <row r="965" spans="1:18" x14ac:dyDescent="0.25">
      <c r="A965" t="s">
        <v>3507</v>
      </c>
      <c r="B965" s="1">
        <v>45362</v>
      </c>
      <c r="C965">
        <v>2024</v>
      </c>
      <c r="D965" t="s">
        <v>18</v>
      </c>
      <c r="E965" t="s">
        <v>3508</v>
      </c>
      <c r="F965" t="s">
        <v>47</v>
      </c>
      <c r="G965">
        <v>5</v>
      </c>
      <c r="H965">
        <v>530.34</v>
      </c>
      <c r="I965" t="s">
        <v>750</v>
      </c>
      <c r="J965" t="s">
        <v>32</v>
      </c>
      <c r="K965" t="s">
        <v>23</v>
      </c>
      <c r="L965" t="s">
        <v>3509</v>
      </c>
      <c r="M965">
        <v>9</v>
      </c>
      <c r="N965" t="s">
        <v>42</v>
      </c>
      <c r="O965" t="s">
        <v>83</v>
      </c>
      <c r="P965">
        <v>2651.7</v>
      </c>
      <c r="Q965">
        <v>2651.7</v>
      </c>
      <c r="R965" t="str">
        <f>IF(OR(P965&lt;Outliers!$B$5, P965&gt;Outliers!$B$6), "outliers", "")</f>
        <v/>
      </c>
    </row>
    <row r="966" spans="1:18" x14ac:dyDescent="0.25">
      <c r="A966" t="s">
        <v>3510</v>
      </c>
      <c r="B966" s="1">
        <v>45158</v>
      </c>
      <c r="C966">
        <v>2023</v>
      </c>
      <c r="D966" t="s">
        <v>28</v>
      </c>
      <c r="E966" t="s">
        <v>3511</v>
      </c>
      <c r="F966" t="s">
        <v>30</v>
      </c>
      <c r="G966">
        <v>5</v>
      </c>
      <c r="H966">
        <v>364.42</v>
      </c>
      <c r="I966" t="s">
        <v>1556</v>
      </c>
      <c r="J966" t="s">
        <v>39</v>
      </c>
      <c r="K966" t="s">
        <v>40</v>
      </c>
      <c r="L966" t="s">
        <v>3512</v>
      </c>
      <c r="M966">
        <v>10</v>
      </c>
      <c r="N966" t="s">
        <v>25</v>
      </c>
      <c r="O966" t="s">
        <v>34</v>
      </c>
      <c r="P966">
        <v>1822.1</v>
      </c>
      <c r="Q966">
        <v>1822.1</v>
      </c>
      <c r="R966" t="str">
        <f>IF(OR(P966&lt;Outliers!$B$5, P966&gt;Outliers!$B$6), "outliers", "")</f>
        <v/>
      </c>
    </row>
    <row r="967" spans="1:18" x14ac:dyDescent="0.25">
      <c r="A967" t="s">
        <v>3513</v>
      </c>
      <c r="B967" s="1">
        <v>45826</v>
      </c>
      <c r="C967">
        <v>2025</v>
      </c>
      <c r="D967" t="s">
        <v>53</v>
      </c>
      <c r="E967" t="s">
        <v>3514</v>
      </c>
      <c r="F967" t="s">
        <v>65</v>
      </c>
      <c r="G967">
        <v>4</v>
      </c>
      <c r="H967">
        <v>578.28</v>
      </c>
      <c r="I967" t="s">
        <v>1092</v>
      </c>
      <c r="J967" t="s">
        <v>67</v>
      </c>
      <c r="K967" t="s">
        <v>40</v>
      </c>
      <c r="L967" t="s">
        <v>3515</v>
      </c>
      <c r="M967">
        <v>5</v>
      </c>
      <c r="N967" t="s">
        <v>42</v>
      </c>
      <c r="O967" t="s">
        <v>43</v>
      </c>
      <c r="P967">
        <v>2313.12</v>
      </c>
      <c r="Q967">
        <v>2313.12</v>
      </c>
      <c r="R967" t="str">
        <f>IF(OR(P967&lt;Outliers!$B$5, P967&gt;Outliers!$B$6), "outliers", "")</f>
        <v/>
      </c>
    </row>
    <row r="968" spans="1:18" x14ac:dyDescent="0.25">
      <c r="A968" t="s">
        <v>3516</v>
      </c>
      <c r="B968" s="1">
        <v>45797</v>
      </c>
      <c r="C968">
        <v>2025</v>
      </c>
      <c r="D968" t="s">
        <v>53</v>
      </c>
      <c r="E968" t="s">
        <v>3517</v>
      </c>
      <c r="F968" t="s">
        <v>20</v>
      </c>
      <c r="G968">
        <v>5</v>
      </c>
      <c r="H968">
        <v>280.52</v>
      </c>
      <c r="I968" t="s">
        <v>3518</v>
      </c>
      <c r="J968" t="s">
        <v>39</v>
      </c>
      <c r="K968" t="s">
        <v>40</v>
      </c>
      <c r="L968" t="s">
        <v>3519</v>
      </c>
      <c r="M968">
        <v>7</v>
      </c>
      <c r="N968" t="s">
        <v>88</v>
      </c>
      <c r="O968" t="s">
        <v>51</v>
      </c>
      <c r="P968">
        <v>1402.6</v>
      </c>
      <c r="Q968">
        <v>1402.6</v>
      </c>
      <c r="R968" t="str">
        <f>IF(OR(P968&lt;Outliers!$B$5, P968&gt;Outliers!$B$6), "outliers", "")</f>
        <v/>
      </c>
    </row>
    <row r="969" spans="1:18" x14ac:dyDescent="0.25">
      <c r="A969" t="s">
        <v>3520</v>
      </c>
      <c r="B969" s="1">
        <v>45783</v>
      </c>
      <c r="C969">
        <v>2025</v>
      </c>
      <c r="D969" t="s">
        <v>53</v>
      </c>
      <c r="E969" t="s">
        <v>3521</v>
      </c>
      <c r="F969" t="s">
        <v>37</v>
      </c>
      <c r="G969">
        <v>5</v>
      </c>
      <c r="H969">
        <v>638.91999999999996</v>
      </c>
      <c r="I969" t="s">
        <v>3522</v>
      </c>
      <c r="J969" t="s">
        <v>39</v>
      </c>
      <c r="K969" t="s">
        <v>49</v>
      </c>
      <c r="L969" t="s">
        <v>3523</v>
      </c>
      <c r="M969">
        <v>5</v>
      </c>
      <c r="N969" t="s">
        <v>42</v>
      </c>
      <c r="O969" t="s">
        <v>83</v>
      </c>
      <c r="P969">
        <v>3194.6</v>
      </c>
      <c r="Q969">
        <v>3194.6</v>
      </c>
      <c r="R969" t="str">
        <f>IF(OR(P969&lt;Outliers!$B$5, P969&gt;Outliers!$B$6), "outliers", "")</f>
        <v/>
      </c>
    </row>
    <row r="970" spans="1:18" x14ac:dyDescent="0.25">
      <c r="A970" t="s">
        <v>3524</v>
      </c>
      <c r="B970" s="1">
        <v>45330</v>
      </c>
      <c r="C970">
        <v>2024</v>
      </c>
      <c r="D970" t="s">
        <v>18</v>
      </c>
      <c r="E970" t="s">
        <v>3525</v>
      </c>
      <c r="F970" t="s">
        <v>20</v>
      </c>
      <c r="G970">
        <v>4</v>
      </c>
      <c r="H970">
        <v>412.2</v>
      </c>
      <c r="I970" t="s">
        <v>3049</v>
      </c>
      <c r="J970" t="s">
        <v>39</v>
      </c>
      <c r="K970" t="s">
        <v>23</v>
      </c>
      <c r="L970" t="s">
        <v>3526</v>
      </c>
      <c r="M970">
        <v>6</v>
      </c>
      <c r="N970" t="s">
        <v>88</v>
      </c>
      <c r="O970" t="s">
        <v>34</v>
      </c>
      <c r="P970">
        <v>1648.8</v>
      </c>
      <c r="Q970">
        <v>1648.8</v>
      </c>
      <c r="R970" t="str">
        <f>IF(OR(P970&lt;Outliers!$B$5, P970&gt;Outliers!$B$6), "outliers", "")</f>
        <v/>
      </c>
    </row>
    <row r="971" spans="1:18" x14ac:dyDescent="0.25">
      <c r="A971" t="s">
        <v>3527</v>
      </c>
      <c r="B971" s="1">
        <v>45813</v>
      </c>
      <c r="C971">
        <v>2025</v>
      </c>
      <c r="D971" t="s">
        <v>53</v>
      </c>
      <c r="E971" t="s">
        <v>3528</v>
      </c>
      <c r="F971" t="s">
        <v>80</v>
      </c>
      <c r="G971">
        <v>1</v>
      </c>
      <c r="H971">
        <v>440.34</v>
      </c>
      <c r="I971" t="s">
        <v>3529</v>
      </c>
      <c r="J971" t="s">
        <v>67</v>
      </c>
      <c r="K971" t="s">
        <v>23</v>
      </c>
      <c r="L971" t="s">
        <v>3530</v>
      </c>
      <c r="M971">
        <v>2</v>
      </c>
      <c r="N971" t="s">
        <v>88</v>
      </c>
      <c r="O971" t="s">
        <v>51</v>
      </c>
      <c r="P971">
        <v>440.34</v>
      </c>
      <c r="Q971">
        <v>440.34</v>
      </c>
      <c r="R971" t="str">
        <f>IF(OR(P971&lt;Outliers!$B$5, P971&gt;Outliers!$B$6), "outliers", "")</f>
        <v/>
      </c>
    </row>
    <row r="972" spans="1:18" x14ac:dyDescent="0.25">
      <c r="A972" t="s">
        <v>3531</v>
      </c>
      <c r="B972" s="1">
        <v>45542</v>
      </c>
      <c r="C972">
        <v>2024</v>
      </c>
      <c r="D972" t="s">
        <v>28</v>
      </c>
      <c r="E972" t="s">
        <v>3532</v>
      </c>
      <c r="F972" t="s">
        <v>80</v>
      </c>
      <c r="G972">
        <v>1</v>
      </c>
      <c r="H972">
        <v>627.15</v>
      </c>
      <c r="I972" t="s">
        <v>3533</v>
      </c>
      <c r="J972" t="s">
        <v>72</v>
      </c>
      <c r="K972" t="s">
        <v>57</v>
      </c>
      <c r="L972" t="s">
        <v>3534</v>
      </c>
      <c r="M972">
        <v>5</v>
      </c>
      <c r="N972" t="s">
        <v>25</v>
      </c>
      <c r="O972" t="s">
        <v>26</v>
      </c>
      <c r="P972">
        <v>627.15</v>
      </c>
      <c r="Q972">
        <v>627.15</v>
      </c>
      <c r="R972" t="str">
        <f>IF(OR(P972&lt;Outliers!$B$5, P972&gt;Outliers!$B$6), "outliers", "")</f>
        <v/>
      </c>
    </row>
    <row r="973" spans="1:18" x14ac:dyDescent="0.25">
      <c r="A973" t="s">
        <v>3535</v>
      </c>
      <c r="B973" s="1">
        <v>45439</v>
      </c>
      <c r="C973">
        <v>2024</v>
      </c>
      <c r="D973" t="s">
        <v>53</v>
      </c>
      <c r="E973" t="s">
        <v>3536</v>
      </c>
      <c r="F973" t="s">
        <v>20</v>
      </c>
      <c r="G973">
        <v>2</v>
      </c>
      <c r="H973">
        <v>605.26</v>
      </c>
      <c r="I973" t="s">
        <v>61</v>
      </c>
      <c r="J973" t="s">
        <v>72</v>
      </c>
      <c r="K973" t="s">
        <v>40</v>
      </c>
      <c r="L973" t="s">
        <v>3537</v>
      </c>
      <c r="M973">
        <v>4</v>
      </c>
      <c r="N973" t="s">
        <v>88</v>
      </c>
      <c r="O973" t="s">
        <v>34</v>
      </c>
      <c r="P973">
        <v>1210.52</v>
      </c>
      <c r="Q973">
        <v>1210.52</v>
      </c>
      <c r="R973" t="str">
        <f>IF(OR(P973&lt;Outliers!$B$5, P973&gt;Outliers!$B$6), "outliers", "")</f>
        <v/>
      </c>
    </row>
    <row r="974" spans="1:18" x14ac:dyDescent="0.25">
      <c r="A974" t="s">
        <v>3538</v>
      </c>
      <c r="B974" s="1">
        <v>45452</v>
      </c>
      <c r="C974">
        <v>2024</v>
      </c>
      <c r="D974" t="s">
        <v>53</v>
      </c>
      <c r="E974" t="s">
        <v>3539</v>
      </c>
      <c r="F974" t="s">
        <v>65</v>
      </c>
      <c r="G974">
        <v>1</v>
      </c>
      <c r="H974">
        <v>90.27</v>
      </c>
      <c r="I974" t="s">
        <v>3540</v>
      </c>
      <c r="J974" t="s">
        <v>72</v>
      </c>
      <c r="K974" t="s">
        <v>57</v>
      </c>
      <c r="L974" t="s">
        <v>3541</v>
      </c>
      <c r="M974">
        <v>5</v>
      </c>
      <c r="N974" t="s">
        <v>25</v>
      </c>
      <c r="O974" t="s">
        <v>51</v>
      </c>
      <c r="P974">
        <v>90.27</v>
      </c>
      <c r="Q974">
        <v>90.27</v>
      </c>
      <c r="R974" t="str">
        <f>IF(OR(P974&lt;Outliers!$B$5, P974&gt;Outliers!$B$6), "outliers", "")</f>
        <v/>
      </c>
    </row>
    <row r="975" spans="1:18" x14ac:dyDescent="0.25">
      <c r="A975" t="s">
        <v>3542</v>
      </c>
      <c r="B975" s="1">
        <v>45817</v>
      </c>
      <c r="C975">
        <v>2025</v>
      </c>
      <c r="D975" t="s">
        <v>53</v>
      </c>
      <c r="E975" t="s">
        <v>3543</v>
      </c>
      <c r="F975" t="s">
        <v>80</v>
      </c>
      <c r="G975">
        <v>5</v>
      </c>
      <c r="H975">
        <v>230.77</v>
      </c>
      <c r="I975" t="s">
        <v>3329</v>
      </c>
      <c r="J975" t="s">
        <v>32</v>
      </c>
      <c r="K975" t="s">
        <v>96</v>
      </c>
      <c r="L975" t="s">
        <v>3544</v>
      </c>
      <c r="M975">
        <v>10</v>
      </c>
      <c r="N975" t="s">
        <v>88</v>
      </c>
      <c r="O975" t="s">
        <v>34</v>
      </c>
      <c r="P975">
        <v>1153.8499999999999</v>
      </c>
      <c r="Q975">
        <v>1153.8499999999999</v>
      </c>
      <c r="R975" t="str">
        <f>IF(OR(P975&lt;Outliers!$B$5, P975&gt;Outliers!$B$6), "outliers", "")</f>
        <v/>
      </c>
    </row>
    <row r="976" spans="1:18" x14ac:dyDescent="0.25">
      <c r="A976" t="s">
        <v>3545</v>
      </c>
      <c r="B976" s="1">
        <v>45196</v>
      </c>
      <c r="C976">
        <v>2023</v>
      </c>
      <c r="D976" t="s">
        <v>28</v>
      </c>
      <c r="E976" t="s">
        <v>3546</v>
      </c>
      <c r="F976" t="s">
        <v>80</v>
      </c>
      <c r="G976">
        <v>5</v>
      </c>
      <c r="H976">
        <v>266.77999999999997</v>
      </c>
      <c r="I976" t="s">
        <v>1244</v>
      </c>
      <c r="J976" t="s">
        <v>67</v>
      </c>
      <c r="K976" t="s">
        <v>40</v>
      </c>
      <c r="L976" t="s">
        <v>3547</v>
      </c>
      <c r="M976">
        <v>5</v>
      </c>
      <c r="O976" t="s">
        <v>43</v>
      </c>
      <c r="P976">
        <v>1333.9</v>
      </c>
      <c r="Q976">
        <v>1333.9</v>
      </c>
      <c r="R976" t="str">
        <f>IF(OR(P976&lt;Outliers!$B$5, P976&gt;Outliers!$B$6), "outliers", "")</f>
        <v/>
      </c>
    </row>
    <row r="977" spans="1:18" x14ac:dyDescent="0.25">
      <c r="A977" t="s">
        <v>3548</v>
      </c>
      <c r="B977" s="1">
        <v>45064</v>
      </c>
      <c r="C977">
        <v>2023</v>
      </c>
      <c r="D977" t="s">
        <v>53</v>
      </c>
      <c r="E977" t="s">
        <v>3549</v>
      </c>
      <c r="F977" t="s">
        <v>80</v>
      </c>
      <c r="G977">
        <v>1</v>
      </c>
      <c r="H977">
        <v>105.92</v>
      </c>
      <c r="I977" t="s">
        <v>1100</v>
      </c>
      <c r="J977" t="s">
        <v>67</v>
      </c>
      <c r="K977" t="s">
        <v>49</v>
      </c>
      <c r="L977" t="s">
        <v>3550</v>
      </c>
      <c r="M977">
        <v>6</v>
      </c>
      <c r="N977" t="s">
        <v>25</v>
      </c>
      <c r="O977" t="s">
        <v>43</v>
      </c>
      <c r="P977">
        <v>105.92</v>
      </c>
      <c r="Q977">
        <v>105.92</v>
      </c>
      <c r="R977" t="str">
        <f>IF(OR(P977&lt;Outliers!$B$5, P977&gt;Outliers!$B$6), "outliers", "")</f>
        <v/>
      </c>
    </row>
    <row r="978" spans="1:18" x14ac:dyDescent="0.25">
      <c r="A978" t="s">
        <v>3551</v>
      </c>
      <c r="B978" s="1">
        <v>45386</v>
      </c>
      <c r="C978">
        <v>2024</v>
      </c>
      <c r="D978" t="s">
        <v>53</v>
      </c>
      <c r="E978" t="s">
        <v>3552</v>
      </c>
      <c r="F978" t="s">
        <v>37</v>
      </c>
      <c r="G978">
        <v>3</v>
      </c>
      <c r="H978">
        <v>589.29999999999995</v>
      </c>
      <c r="I978" t="s">
        <v>3032</v>
      </c>
      <c r="J978" t="s">
        <v>39</v>
      </c>
      <c r="K978" t="s">
        <v>49</v>
      </c>
      <c r="L978" t="s">
        <v>3553</v>
      </c>
      <c r="M978">
        <v>6</v>
      </c>
      <c r="N978" t="s">
        <v>88</v>
      </c>
      <c r="O978" t="s">
        <v>34</v>
      </c>
      <c r="P978">
        <v>1767.9</v>
      </c>
      <c r="Q978">
        <v>1767.9</v>
      </c>
      <c r="R978" t="str">
        <f>IF(OR(P978&lt;Outliers!$B$5, P978&gt;Outliers!$B$6), "outliers", "")</f>
        <v/>
      </c>
    </row>
    <row r="979" spans="1:18" x14ac:dyDescent="0.25">
      <c r="A979" t="s">
        <v>3554</v>
      </c>
      <c r="B979" s="1">
        <v>44954</v>
      </c>
      <c r="C979">
        <v>2023</v>
      </c>
      <c r="D979" t="s">
        <v>18</v>
      </c>
      <c r="E979" t="s">
        <v>3555</v>
      </c>
      <c r="F979" t="s">
        <v>47</v>
      </c>
      <c r="G979">
        <v>4</v>
      </c>
      <c r="H979">
        <v>649.47</v>
      </c>
      <c r="I979" t="s">
        <v>3556</v>
      </c>
      <c r="J979" t="s">
        <v>72</v>
      </c>
      <c r="K979" t="s">
        <v>96</v>
      </c>
      <c r="L979" t="s">
        <v>3557</v>
      </c>
      <c r="M979">
        <v>8</v>
      </c>
      <c r="N979" t="s">
        <v>25</v>
      </c>
      <c r="O979" t="s">
        <v>83</v>
      </c>
      <c r="P979">
        <v>2597.88</v>
      </c>
      <c r="Q979">
        <v>2597.88</v>
      </c>
      <c r="R979" t="str">
        <f>IF(OR(P979&lt;Outliers!$B$5, P979&gt;Outliers!$B$6), "outliers", "")</f>
        <v/>
      </c>
    </row>
    <row r="980" spans="1:18" x14ac:dyDescent="0.25">
      <c r="A980" t="s">
        <v>3558</v>
      </c>
      <c r="B980" s="1">
        <v>45468</v>
      </c>
      <c r="C980">
        <v>2024</v>
      </c>
      <c r="D980" t="s">
        <v>53</v>
      </c>
      <c r="E980" t="s">
        <v>3559</v>
      </c>
      <c r="F980" t="s">
        <v>55</v>
      </c>
      <c r="G980">
        <v>4</v>
      </c>
      <c r="H980">
        <v>107.49</v>
      </c>
      <c r="I980" t="s">
        <v>2658</v>
      </c>
      <c r="J980" t="s">
        <v>72</v>
      </c>
      <c r="K980" t="s">
        <v>57</v>
      </c>
      <c r="L980" t="s">
        <v>3560</v>
      </c>
      <c r="M980">
        <v>5</v>
      </c>
      <c r="O980" t="s">
        <v>83</v>
      </c>
      <c r="P980">
        <v>429.96</v>
      </c>
      <c r="Q980">
        <v>429.96</v>
      </c>
      <c r="R980" t="str">
        <f>IF(OR(P980&lt;Outliers!$B$5, P980&gt;Outliers!$B$6), "outliers", "")</f>
        <v/>
      </c>
    </row>
    <row r="981" spans="1:18" x14ac:dyDescent="0.25">
      <c r="A981" t="s">
        <v>3561</v>
      </c>
      <c r="B981" s="1">
        <v>45077</v>
      </c>
      <c r="C981">
        <v>2023</v>
      </c>
      <c r="D981" t="s">
        <v>53</v>
      </c>
      <c r="E981" t="s">
        <v>3562</v>
      </c>
      <c r="F981" t="s">
        <v>20</v>
      </c>
      <c r="G981">
        <v>3</v>
      </c>
      <c r="H981">
        <v>669.06</v>
      </c>
      <c r="I981" t="s">
        <v>1120</v>
      </c>
      <c r="J981" t="s">
        <v>72</v>
      </c>
      <c r="K981" t="s">
        <v>57</v>
      </c>
      <c r="L981" t="s">
        <v>3563</v>
      </c>
      <c r="M981">
        <v>7</v>
      </c>
      <c r="N981" t="s">
        <v>25</v>
      </c>
      <c r="O981" t="s">
        <v>51</v>
      </c>
      <c r="P981">
        <v>2007.18</v>
      </c>
      <c r="Q981">
        <v>2007.18</v>
      </c>
      <c r="R981" t="str">
        <f>IF(OR(P981&lt;Outliers!$B$5, P981&gt;Outliers!$B$6), "outliers", "")</f>
        <v/>
      </c>
    </row>
    <row r="982" spans="1:18" x14ac:dyDescent="0.25">
      <c r="A982" t="s">
        <v>3564</v>
      </c>
      <c r="B982" s="1">
        <v>45213</v>
      </c>
      <c r="C982">
        <v>2023</v>
      </c>
      <c r="D982" t="s">
        <v>45</v>
      </c>
      <c r="E982" t="s">
        <v>3565</v>
      </c>
      <c r="F982" t="s">
        <v>47</v>
      </c>
      <c r="G982">
        <v>3</v>
      </c>
      <c r="H982">
        <v>69.650000000000006</v>
      </c>
      <c r="I982" t="s">
        <v>3566</v>
      </c>
      <c r="J982" t="s">
        <v>72</v>
      </c>
      <c r="K982" t="s">
        <v>57</v>
      </c>
      <c r="L982" t="s">
        <v>3567</v>
      </c>
      <c r="M982">
        <v>7</v>
      </c>
      <c r="N982" t="s">
        <v>88</v>
      </c>
      <c r="O982" t="s">
        <v>26</v>
      </c>
      <c r="P982">
        <v>208.95</v>
      </c>
      <c r="Q982">
        <v>208.95</v>
      </c>
      <c r="R982" t="str">
        <f>IF(OR(P982&lt;Outliers!$B$5, P982&gt;Outliers!$B$6), "outliers", "")</f>
        <v/>
      </c>
    </row>
    <row r="983" spans="1:18" x14ac:dyDescent="0.25">
      <c r="A983" t="s">
        <v>3568</v>
      </c>
      <c r="B983" s="1">
        <v>45256</v>
      </c>
      <c r="C983">
        <v>2023</v>
      </c>
      <c r="D983" t="s">
        <v>45</v>
      </c>
      <c r="E983" t="s">
        <v>3569</v>
      </c>
      <c r="F983" t="s">
        <v>30</v>
      </c>
      <c r="G983">
        <v>4</v>
      </c>
      <c r="H983">
        <v>136.83000000000001</v>
      </c>
      <c r="I983" t="s">
        <v>3570</v>
      </c>
      <c r="J983" t="s">
        <v>22</v>
      </c>
      <c r="K983" t="s">
        <v>96</v>
      </c>
      <c r="L983" t="s">
        <v>3571</v>
      </c>
      <c r="M983">
        <v>8</v>
      </c>
      <c r="N983" t="s">
        <v>25</v>
      </c>
      <c r="O983" t="s">
        <v>43</v>
      </c>
      <c r="P983">
        <v>547.32000000000005</v>
      </c>
      <c r="Q983">
        <v>547.32000000000005</v>
      </c>
      <c r="R983" t="str">
        <f>IF(OR(P983&lt;Outliers!$B$5, P983&gt;Outliers!$B$6), "outliers", "")</f>
        <v/>
      </c>
    </row>
    <row r="984" spans="1:18" x14ac:dyDescent="0.25">
      <c r="A984" t="s">
        <v>3572</v>
      </c>
      <c r="B984" s="1">
        <v>45541</v>
      </c>
      <c r="C984">
        <v>2024</v>
      </c>
      <c r="D984" t="s">
        <v>28</v>
      </c>
      <c r="E984" t="s">
        <v>3573</v>
      </c>
      <c r="F984" t="s">
        <v>20</v>
      </c>
      <c r="G984">
        <v>1</v>
      </c>
      <c r="H984">
        <v>304.11</v>
      </c>
      <c r="I984" t="s">
        <v>2675</v>
      </c>
      <c r="J984" t="s">
        <v>67</v>
      </c>
      <c r="K984" t="s">
        <v>23</v>
      </c>
      <c r="L984" t="s">
        <v>3574</v>
      </c>
      <c r="M984">
        <v>2</v>
      </c>
      <c r="N984" t="s">
        <v>25</v>
      </c>
      <c r="O984" t="s">
        <v>34</v>
      </c>
      <c r="P984">
        <v>304.11</v>
      </c>
      <c r="Q984">
        <v>304.11</v>
      </c>
      <c r="R984" t="str">
        <f>IF(OR(P984&lt;Outliers!$B$5, P984&gt;Outliers!$B$6), "outliers", "")</f>
        <v/>
      </c>
    </row>
    <row r="985" spans="1:18" x14ac:dyDescent="0.25">
      <c r="A985" t="s">
        <v>3575</v>
      </c>
      <c r="B985" s="1">
        <v>45620</v>
      </c>
      <c r="C985">
        <v>2024</v>
      </c>
      <c r="D985" t="s">
        <v>45</v>
      </c>
      <c r="E985" t="s">
        <v>3576</v>
      </c>
      <c r="F985" t="s">
        <v>20</v>
      </c>
      <c r="G985">
        <v>4</v>
      </c>
      <c r="H985">
        <v>296.27999999999997</v>
      </c>
      <c r="I985" t="s">
        <v>3577</v>
      </c>
      <c r="J985" t="s">
        <v>67</v>
      </c>
      <c r="K985" t="s">
        <v>23</v>
      </c>
      <c r="L985" t="s">
        <v>3578</v>
      </c>
      <c r="M985">
        <v>5</v>
      </c>
      <c r="N985" t="s">
        <v>25</v>
      </c>
      <c r="O985" t="s">
        <v>43</v>
      </c>
      <c r="P985">
        <v>1185.1199999999999</v>
      </c>
      <c r="Q985">
        <v>1185.1199999999999</v>
      </c>
      <c r="R985" t="str">
        <f>IF(OR(P985&lt;Outliers!$B$5, P985&gt;Outliers!$B$6), "outliers", "")</f>
        <v/>
      </c>
    </row>
    <row r="986" spans="1:18" x14ac:dyDescent="0.25">
      <c r="A986" t="s">
        <v>3579</v>
      </c>
      <c r="B986" s="1">
        <v>45716</v>
      </c>
      <c r="C986">
        <v>2025</v>
      </c>
      <c r="D986" t="s">
        <v>18</v>
      </c>
      <c r="E986" t="s">
        <v>3580</v>
      </c>
      <c r="F986" t="s">
        <v>80</v>
      </c>
      <c r="G986">
        <v>1</v>
      </c>
      <c r="H986">
        <v>77.64</v>
      </c>
      <c r="I986" t="s">
        <v>71</v>
      </c>
      <c r="J986" t="s">
        <v>39</v>
      </c>
      <c r="K986" t="s">
        <v>23</v>
      </c>
      <c r="L986" t="s">
        <v>3581</v>
      </c>
      <c r="M986">
        <v>1</v>
      </c>
      <c r="N986" t="s">
        <v>42</v>
      </c>
      <c r="O986" t="s">
        <v>51</v>
      </c>
      <c r="P986">
        <v>77.64</v>
      </c>
      <c r="Q986">
        <v>77.64</v>
      </c>
      <c r="R986" t="str">
        <f>IF(OR(P986&lt;Outliers!$B$5, P986&gt;Outliers!$B$6), "outliers", "")</f>
        <v/>
      </c>
    </row>
    <row r="987" spans="1:18" x14ac:dyDescent="0.25">
      <c r="A987" t="s">
        <v>3582</v>
      </c>
      <c r="B987" s="1">
        <v>45493</v>
      </c>
      <c r="C987">
        <v>2024</v>
      </c>
      <c r="D987" t="s">
        <v>28</v>
      </c>
      <c r="E987" t="s">
        <v>3583</v>
      </c>
      <c r="F987" t="s">
        <v>80</v>
      </c>
      <c r="G987">
        <v>1</v>
      </c>
      <c r="H987">
        <v>243.71</v>
      </c>
      <c r="I987" t="s">
        <v>936</v>
      </c>
      <c r="J987" t="s">
        <v>67</v>
      </c>
      <c r="K987" t="s">
        <v>57</v>
      </c>
      <c r="L987" t="s">
        <v>3584</v>
      </c>
      <c r="M987">
        <v>6</v>
      </c>
      <c r="N987" t="s">
        <v>25</v>
      </c>
      <c r="O987" t="s">
        <v>83</v>
      </c>
      <c r="P987">
        <v>243.71</v>
      </c>
      <c r="Q987">
        <v>243.71</v>
      </c>
      <c r="R987" t="str">
        <f>IF(OR(P987&lt;Outliers!$B$5, P987&gt;Outliers!$B$6), "outliers", "")</f>
        <v/>
      </c>
    </row>
    <row r="988" spans="1:18" x14ac:dyDescent="0.25">
      <c r="A988" t="s">
        <v>3585</v>
      </c>
      <c r="B988" s="1">
        <v>45542</v>
      </c>
      <c r="C988">
        <v>2024</v>
      </c>
      <c r="D988" t="s">
        <v>28</v>
      </c>
      <c r="E988" t="s">
        <v>3586</v>
      </c>
      <c r="F988" t="s">
        <v>65</v>
      </c>
      <c r="G988">
        <v>4</v>
      </c>
      <c r="H988">
        <v>644.96</v>
      </c>
      <c r="I988" t="s">
        <v>433</v>
      </c>
      <c r="J988" t="s">
        <v>39</v>
      </c>
      <c r="K988" t="s">
        <v>96</v>
      </c>
      <c r="L988" t="s">
        <v>3587</v>
      </c>
      <c r="M988">
        <v>7</v>
      </c>
      <c r="N988" t="s">
        <v>42</v>
      </c>
      <c r="O988" t="s">
        <v>43</v>
      </c>
      <c r="P988">
        <v>2579.84</v>
      </c>
      <c r="Q988">
        <v>2579.84</v>
      </c>
      <c r="R988" t="str">
        <f>IF(OR(P988&lt;Outliers!$B$5, P988&gt;Outliers!$B$6), "outliers", "")</f>
        <v/>
      </c>
    </row>
    <row r="989" spans="1:18" x14ac:dyDescent="0.25">
      <c r="A989" t="s">
        <v>3588</v>
      </c>
      <c r="B989" s="1">
        <v>45813</v>
      </c>
      <c r="C989">
        <v>2025</v>
      </c>
      <c r="D989" t="s">
        <v>53</v>
      </c>
      <c r="E989" t="s">
        <v>3589</v>
      </c>
      <c r="F989" t="s">
        <v>30</v>
      </c>
      <c r="G989">
        <v>5</v>
      </c>
      <c r="H989">
        <v>283.73</v>
      </c>
      <c r="I989" t="s">
        <v>1704</v>
      </c>
      <c r="J989" t="s">
        <v>67</v>
      </c>
      <c r="K989" t="s">
        <v>96</v>
      </c>
      <c r="L989" t="s">
        <v>3590</v>
      </c>
      <c r="M989">
        <v>8</v>
      </c>
      <c r="N989" t="s">
        <v>42</v>
      </c>
      <c r="O989" t="s">
        <v>26</v>
      </c>
      <c r="P989">
        <v>1418.65</v>
      </c>
      <c r="Q989">
        <v>1418.65</v>
      </c>
      <c r="R989" t="str">
        <f>IF(OR(P989&lt;Outliers!$B$5, P989&gt;Outliers!$B$6), "outliers", "")</f>
        <v/>
      </c>
    </row>
    <row r="990" spans="1:18" x14ac:dyDescent="0.25">
      <c r="A990" t="s">
        <v>3591</v>
      </c>
      <c r="B990" s="1">
        <v>45692</v>
      </c>
      <c r="C990">
        <v>2025</v>
      </c>
      <c r="D990" t="s">
        <v>18</v>
      </c>
      <c r="E990" t="s">
        <v>3592</v>
      </c>
      <c r="F990" t="s">
        <v>80</v>
      </c>
      <c r="G990">
        <v>2</v>
      </c>
      <c r="H990">
        <v>629.55999999999995</v>
      </c>
      <c r="I990" t="s">
        <v>1324</v>
      </c>
      <c r="J990" t="s">
        <v>67</v>
      </c>
      <c r="K990" t="s">
        <v>40</v>
      </c>
      <c r="L990" t="s">
        <v>3593</v>
      </c>
      <c r="M990">
        <v>5</v>
      </c>
      <c r="N990" t="s">
        <v>88</v>
      </c>
      <c r="O990" t="s">
        <v>26</v>
      </c>
      <c r="P990">
        <v>1259.1199999999999</v>
      </c>
      <c r="Q990">
        <v>1259.1199999999999</v>
      </c>
      <c r="R990" t="str">
        <f>IF(OR(P990&lt;Outliers!$B$5, P990&gt;Outliers!$B$6), "outliers", "")</f>
        <v/>
      </c>
    </row>
    <row r="991" spans="1:18" x14ac:dyDescent="0.25">
      <c r="A991" t="s">
        <v>3594</v>
      </c>
      <c r="B991" s="1">
        <v>45008</v>
      </c>
      <c r="C991">
        <v>2023</v>
      </c>
      <c r="D991" t="s">
        <v>18</v>
      </c>
      <c r="E991" t="s">
        <v>3595</v>
      </c>
      <c r="F991" t="s">
        <v>65</v>
      </c>
      <c r="G991">
        <v>4</v>
      </c>
      <c r="H991">
        <v>246.11</v>
      </c>
      <c r="I991" t="s">
        <v>3596</v>
      </c>
      <c r="J991" t="s">
        <v>39</v>
      </c>
      <c r="K991" t="s">
        <v>96</v>
      </c>
      <c r="L991" t="s">
        <v>3597</v>
      </c>
      <c r="M991">
        <v>4</v>
      </c>
      <c r="N991" t="s">
        <v>25</v>
      </c>
      <c r="O991" t="s">
        <v>26</v>
      </c>
      <c r="P991">
        <v>984.44</v>
      </c>
      <c r="Q991">
        <v>984.44</v>
      </c>
      <c r="R991" t="str">
        <f>IF(OR(P991&lt;Outliers!$B$5, P991&gt;Outliers!$B$6), "outliers", "")</f>
        <v/>
      </c>
    </row>
    <row r="992" spans="1:18" x14ac:dyDescent="0.25">
      <c r="A992" t="s">
        <v>3598</v>
      </c>
      <c r="B992" s="1">
        <v>45249</v>
      </c>
      <c r="C992">
        <v>2023</v>
      </c>
      <c r="D992" t="s">
        <v>45</v>
      </c>
      <c r="E992" t="s">
        <v>3599</v>
      </c>
      <c r="F992" t="s">
        <v>30</v>
      </c>
      <c r="G992">
        <v>2</v>
      </c>
      <c r="H992">
        <v>418.26</v>
      </c>
      <c r="I992" t="s">
        <v>3600</v>
      </c>
      <c r="J992" t="s">
        <v>22</v>
      </c>
      <c r="K992" t="s">
        <v>96</v>
      </c>
      <c r="L992" t="s">
        <v>3601</v>
      </c>
      <c r="M992">
        <v>2</v>
      </c>
      <c r="N992" t="s">
        <v>25</v>
      </c>
      <c r="O992" t="s">
        <v>83</v>
      </c>
      <c r="P992">
        <v>836.52</v>
      </c>
      <c r="Q992">
        <v>836.52</v>
      </c>
      <c r="R992" t="str">
        <f>IF(OR(P992&lt;Outliers!$B$5, P992&gt;Outliers!$B$6), "outliers", "")</f>
        <v/>
      </c>
    </row>
    <row r="993" spans="1:18" x14ac:dyDescent="0.25">
      <c r="A993" t="s">
        <v>3602</v>
      </c>
      <c r="B993" s="1">
        <v>45421</v>
      </c>
      <c r="C993">
        <v>2024</v>
      </c>
      <c r="D993" t="s">
        <v>53</v>
      </c>
      <c r="E993" t="s">
        <v>3603</v>
      </c>
      <c r="F993" t="s">
        <v>80</v>
      </c>
      <c r="G993">
        <v>5</v>
      </c>
      <c r="H993">
        <v>127.18</v>
      </c>
      <c r="I993" t="s">
        <v>587</v>
      </c>
      <c r="J993" t="s">
        <v>22</v>
      </c>
      <c r="K993" t="s">
        <v>40</v>
      </c>
      <c r="L993" t="s">
        <v>3604</v>
      </c>
      <c r="M993">
        <v>10</v>
      </c>
      <c r="N993" t="s">
        <v>42</v>
      </c>
      <c r="O993" t="s">
        <v>83</v>
      </c>
      <c r="P993">
        <v>635.9</v>
      </c>
      <c r="Q993">
        <v>635.9</v>
      </c>
      <c r="R993" t="str">
        <f>IF(OR(P993&lt;Outliers!$B$5, P993&gt;Outliers!$B$6), "outliers", "")</f>
        <v/>
      </c>
    </row>
    <row r="994" spans="1:18" x14ac:dyDescent="0.25">
      <c r="A994" t="s">
        <v>3605</v>
      </c>
      <c r="B994" s="1">
        <v>45531</v>
      </c>
      <c r="C994">
        <v>2024</v>
      </c>
      <c r="D994" t="s">
        <v>28</v>
      </c>
      <c r="E994" t="s">
        <v>3606</v>
      </c>
      <c r="F994" t="s">
        <v>55</v>
      </c>
      <c r="G994">
        <v>3</v>
      </c>
      <c r="H994">
        <v>586.21</v>
      </c>
      <c r="I994" t="s">
        <v>610</v>
      </c>
      <c r="J994" t="s">
        <v>67</v>
      </c>
      <c r="K994" t="s">
        <v>96</v>
      </c>
      <c r="L994" t="s">
        <v>3607</v>
      </c>
      <c r="M994">
        <v>4</v>
      </c>
      <c r="N994" t="s">
        <v>88</v>
      </c>
      <c r="O994" t="s">
        <v>34</v>
      </c>
      <c r="P994">
        <v>1758.63</v>
      </c>
      <c r="Q994">
        <v>1758.63</v>
      </c>
      <c r="R994" t="str">
        <f>IF(OR(P994&lt;Outliers!$B$5, P994&gt;Outliers!$B$6), "outliers", "")</f>
        <v/>
      </c>
    </row>
    <row r="995" spans="1:18" x14ac:dyDescent="0.25">
      <c r="A995" t="s">
        <v>3608</v>
      </c>
      <c r="B995" s="1">
        <v>45388</v>
      </c>
      <c r="C995">
        <v>2024</v>
      </c>
      <c r="D995" t="s">
        <v>53</v>
      </c>
      <c r="E995" t="s">
        <v>3609</v>
      </c>
      <c r="F995" t="s">
        <v>20</v>
      </c>
      <c r="G995">
        <v>3</v>
      </c>
      <c r="H995">
        <v>267.45</v>
      </c>
      <c r="I995" t="s">
        <v>3610</v>
      </c>
      <c r="J995" t="s">
        <v>67</v>
      </c>
      <c r="K995" t="s">
        <v>57</v>
      </c>
      <c r="L995" t="s">
        <v>3611</v>
      </c>
      <c r="M995">
        <v>5</v>
      </c>
      <c r="N995" t="s">
        <v>88</v>
      </c>
      <c r="O995" t="s">
        <v>26</v>
      </c>
      <c r="P995">
        <v>802.35</v>
      </c>
      <c r="Q995">
        <v>802.35</v>
      </c>
      <c r="R995" t="str">
        <f>IF(OR(P995&lt;Outliers!$B$5, P995&gt;Outliers!$B$6), "outliers", "")</f>
        <v/>
      </c>
    </row>
    <row r="996" spans="1:18" x14ac:dyDescent="0.25">
      <c r="A996" t="s">
        <v>3612</v>
      </c>
      <c r="B996" s="1">
        <v>45470</v>
      </c>
      <c r="C996">
        <v>2024</v>
      </c>
      <c r="D996" t="s">
        <v>53</v>
      </c>
      <c r="E996" t="s">
        <v>3613</v>
      </c>
      <c r="F996" t="s">
        <v>37</v>
      </c>
      <c r="G996">
        <v>4</v>
      </c>
      <c r="H996">
        <v>615.65</v>
      </c>
      <c r="I996" t="s">
        <v>370</v>
      </c>
      <c r="J996" t="s">
        <v>22</v>
      </c>
      <c r="K996" t="s">
        <v>57</v>
      </c>
      <c r="L996" t="s">
        <v>3614</v>
      </c>
      <c r="M996">
        <v>9</v>
      </c>
      <c r="N996" t="s">
        <v>88</v>
      </c>
      <c r="O996" t="s">
        <v>83</v>
      </c>
      <c r="P996">
        <v>2462.6</v>
      </c>
      <c r="Q996">
        <v>2462.6</v>
      </c>
      <c r="R996" t="str">
        <f>IF(OR(P996&lt;Outliers!$B$5, P996&gt;Outliers!$B$6), "outliers", "")</f>
        <v/>
      </c>
    </row>
    <row r="997" spans="1:18" x14ac:dyDescent="0.25">
      <c r="A997" t="s">
        <v>3615</v>
      </c>
      <c r="B997" s="1">
        <v>45248</v>
      </c>
      <c r="C997">
        <v>2023</v>
      </c>
      <c r="D997" t="s">
        <v>45</v>
      </c>
      <c r="E997" t="s">
        <v>3616</v>
      </c>
      <c r="F997" t="s">
        <v>20</v>
      </c>
      <c r="G997">
        <v>2</v>
      </c>
      <c r="H997">
        <v>113.29</v>
      </c>
      <c r="I997" t="s">
        <v>1999</v>
      </c>
      <c r="J997" t="s">
        <v>72</v>
      </c>
      <c r="K997" t="s">
        <v>96</v>
      </c>
      <c r="L997" t="s">
        <v>3617</v>
      </c>
      <c r="M997">
        <v>5</v>
      </c>
      <c r="N997" t="s">
        <v>25</v>
      </c>
      <c r="O997" t="s">
        <v>51</v>
      </c>
      <c r="P997">
        <v>226.58</v>
      </c>
      <c r="Q997">
        <v>226.58</v>
      </c>
      <c r="R997" t="str">
        <f>IF(OR(P997&lt;Outliers!$B$5, P997&gt;Outliers!$B$6), "outliers", "")</f>
        <v/>
      </c>
    </row>
    <row r="998" spans="1:18" x14ac:dyDescent="0.25">
      <c r="A998" t="s">
        <v>3618</v>
      </c>
      <c r="B998" s="1">
        <v>45410</v>
      </c>
      <c r="C998">
        <v>2024</v>
      </c>
      <c r="D998" t="s">
        <v>53</v>
      </c>
      <c r="E998" t="s">
        <v>3619</v>
      </c>
      <c r="F998" t="s">
        <v>20</v>
      </c>
      <c r="G998">
        <v>4</v>
      </c>
      <c r="H998">
        <v>473.86</v>
      </c>
      <c r="I998" t="s">
        <v>1263</v>
      </c>
      <c r="J998" t="s">
        <v>22</v>
      </c>
      <c r="K998" t="s">
        <v>57</v>
      </c>
      <c r="L998" t="s">
        <v>3620</v>
      </c>
      <c r="M998">
        <v>7</v>
      </c>
      <c r="N998" t="s">
        <v>25</v>
      </c>
      <c r="O998" t="s">
        <v>51</v>
      </c>
      <c r="P998">
        <v>1895.44</v>
      </c>
      <c r="Q998">
        <v>1895.44</v>
      </c>
      <c r="R998" t="str">
        <f>IF(OR(P998&lt;Outliers!$B$5, P998&gt;Outliers!$B$6), "outliers", "")</f>
        <v/>
      </c>
    </row>
    <row r="999" spans="1:18" x14ac:dyDescent="0.25">
      <c r="A999" t="s">
        <v>3621</v>
      </c>
      <c r="B999" s="1">
        <v>45257</v>
      </c>
      <c r="C999">
        <v>2023</v>
      </c>
      <c r="D999" t="s">
        <v>45</v>
      </c>
      <c r="E999" t="s">
        <v>3622</v>
      </c>
      <c r="F999" t="s">
        <v>65</v>
      </c>
      <c r="G999">
        <v>3</v>
      </c>
      <c r="H999">
        <v>444.75</v>
      </c>
      <c r="I999" t="s">
        <v>1945</v>
      </c>
      <c r="J999" t="s">
        <v>72</v>
      </c>
      <c r="K999" t="s">
        <v>57</v>
      </c>
      <c r="L999" t="s">
        <v>3623</v>
      </c>
      <c r="M999">
        <v>6</v>
      </c>
      <c r="N999" t="s">
        <v>25</v>
      </c>
      <c r="O999" t="s">
        <v>51</v>
      </c>
      <c r="P999">
        <v>1334.25</v>
      </c>
      <c r="Q999">
        <v>1334.25</v>
      </c>
      <c r="R999" t="str">
        <f>IF(OR(P999&lt;Outliers!$B$5, P999&gt;Outliers!$B$6), "outliers", "")</f>
        <v/>
      </c>
    </row>
    <row r="1000" spans="1:18" x14ac:dyDescent="0.25">
      <c r="A1000" t="s">
        <v>3624</v>
      </c>
      <c r="B1000" s="1">
        <v>45065</v>
      </c>
      <c r="C1000">
        <v>2023</v>
      </c>
      <c r="D1000" t="s">
        <v>53</v>
      </c>
      <c r="E1000" t="s">
        <v>3625</v>
      </c>
      <c r="F1000" t="s">
        <v>30</v>
      </c>
      <c r="G1000">
        <v>2</v>
      </c>
      <c r="H1000">
        <v>183.67</v>
      </c>
      <c r="I1000" t="s">
        <v>963</v>
      </c>
      <c r="J1000" t="s">
        <v>22</v>
      </c>
      <c r="K1000" t="s">
        <v>40</v>
      </c>
      <c r="L1000" t="s">
        <v>3626</v>
      </c>
      <c r="M1000">
        <v>6</v>
      </c>
      <c r="N1000" t="s">
        <v>25</v>
      </c>
      <c r="O1000" t="s">
        <v>83</v>
      </c>
      <c r="P1000">
        <v>367.34</v>
      </c>
      <c r="Q1000">
        <v>367.34</v>
      </c>
      <c r="R1000" t="str">
        <f>IF(OR(P1000&lt;Outliers!$B$5, P1000&gt;Outliers!$B$6), "outliers", "")</f>
        <v/>
      </c>
    </row>
    <row r="1001" spans="1:18" x14ac:dyDescent="0.25">
      <c r="A1001" t="s">
        <v>3627</v>
      </c>
      <c r="B1001" s="1">
        <v>45284</v>
      </c>
      <c r="C1001">
        <v>2023</v>
      </c>
      <c r="D1001" t="s">
        <v>45</v>
      </c>
      <c r="E1001" t="s">
        <v>3628</v>
      </c>
      <c r="F1001" t="s">
        <v>55</v>
      </c>
      <c r="G1001">
        <v>1</v>
      </c>
      <c r="H1001">
        <v>483.38</v>
      </c>
      <c r="I1001" t="s">
        <v>1627</v>
      </c>
      <c r="J1001" t="s">
        <v>72</v>
      </c>
      <c r="K1001" t="s">
        <v>96</v>
      </c>
      <c r="L1001" t="s">
        <v>3629</v>
      </c>
      <c r="M1001">
        <v>6</v>
      </c>
      <c r="N1001" t="s">
        <v>42</v>
      </c>
      <c r="O1001" t="s">
        <v>83</v>
      </c>
      <c r="P1001">
        <v>483.38</v>
      </c>
      <c r="Q1001">
        <v>483.38</v>
      </c>
      <c r="R1001" t="str">
        <f>IF(OR(P1001&lt;Outliers!$B$5, P1001&gt;Outliers!$B$6), "outliers", "")</f>
        <v/>
      </c>
    </row>
    <row r="1002" spans="1:18" x14ac:dyDescent="0.25">
      <c r="A1002" t="s">
        <v>3630</v>
      </c>
      <c r="B1002" s="1">
        <v>45098</v>
      </c>
      <c r="C1002">
        <v>2023</v>
      </c>
      <c r="D1002" t="s">
        <v>53</v>
      </c>
      <c r="E1002" t="s">
        <v>3631</v>
      </c>
      <c r="F1002" t="s">
        <v>55</v>
      </c>
      <c r="G1002">
        <v>5</v>
      </c>
      <c r="H1002">
        <v>260.93</v>
      </c>
      <c r="I1002" t="s">
        <v>3632</v>
      </c>
      <c r="J1002" t="s">
        <v>32</v>
      </c>
      <c r="K1002" t="s">
        <v>57</v>
      </c>
      <c r="L1002" t="s">
        <v>3633</v>
      </c>
      <c r="M1002">
        <v>9</v>
      </c>
      <c r="N1002" t="s">
        <v>25</v>
      </c>
      <c r="O1002" t="s">
        <v>43</v>
      </c>
      <c r="P1002">
        <v>1304.6500000000001</v>
      </c>
      <c r="Q1002">
        <v>1304.6500000000001</v>
      </c>
      <c r="R1002" t="str">
        <f>IF(OR(P1002&lt;Outliers!$B$5, P1002&gt;Outliers!$B$6), "outliers", "")</f>
        <v/>
      </c>
    </row>
    <row r="1003" spans="1:18" x14ac:dyDescent="0.25">
      <c r="A1003" t="s">
        <v>3634</v>
      </c>
      <c r="B1003" s="1">
        <v>45268</v>
      </c>
      <c r="C1003">
        <v>2023</v>
      </c>
      <c r="D1003" t="s">
        <v>45</v>
      </c>
      <c r="E1003" t="s">
        <v>3635</v>
      </c>
      <c r="F1003" t="s">
        <v>55</v>
      </c>
      <c r="G1003">
        <v>2</v>
      </c>
      <c r="H1003">
        <v>253.68</v>
      </c>
      <c r="I1003" t="s">
        <v>501</v>
      </c>
      <c r="J1003" t="s">
        <v>67</v>
      </c>
      <c r="K1003" t="s">
        <v>23</v>
      </c>
      <c r="L1003" t="s">
        <v>3636</v>
      </c>
      <c r="M1003">
        <v>6</v>
      </c>
      <c r="O1003" t="s">
        <v>34</v>
      </c>
      <c r="P1003">
        <v>507.36</v>
      </c>
      <c r="Q1003">
        <v>507.36</v>
      </c>
      <c r="R1003" t="str">
        <f>IF(OR(P1003&lt;Outliers!$B$5, P1003&gt;Outliers!$B$6), "outliers", "")</f>
        <v/>
      </c>
    </row>
    <row r="1004" spans="1:18" x14ac:dyDescent="0.25">
      <c r="A1004" t="s">
        <v>3637</v>
      </c>
      <c r="B1004" s="1">
        <v>45827</v>
      </c>
      <c r="C1004">
        <v>2025</v>
      </c>
      <c r="D1004" t="s">
        <v>53</v>
      </c>
      <c r="E1004" t="s">
        <v>3638</v>
      </c>
      <c r="F1004" t="s">
        <v>37</v>
      </c>
      <c r="G1004">
        <v>4</v>
      </c>
      <c r="H1004">
        <v>699.88</v>
      </c>
      <c r="I1004" t="s">
        <v>449</v>
      </c>
      <c r="J1004" t="s">
        <v>72</v>
      </c>
      <c r="K1004" t="s">
        <v>96</v>
      </c>
      <c r="L1004" t="s">
        <v>3639</v>
      </c>
      <c r="M1004">
        <v>5</v>
      </c>
      <c r="N1004" t="s">
        <v>88</v>
      </c>
      <c r="O1004" t="s">
        <v>34</v>
      </c>
      <c r="P1004">
        <v>2799.52</v>
      </c>
      <c r="Q1004">
        <v>2799.52</v>
      </c>
      <c r="R1004" t="str">
        <f>IF(OR(P1004&lt;Outliers!$B$5, P1004&gt;Outliers!$B$6), "outliers", "")</f>
        <v/>
      </c>
    </row>
    <row r="1005" spans="1:18" x14ac:dyDescent="0.25">
      <c r="A1005" t="s">
        <v>3640</v>
      </c>
      <c r="B1005" s="1">
        <v>44937</v>
      </c>
      <c r="C1005">
        <v>2023</v>
      </c>
      <c r="D1005" t="s">
        <v>18</v>
      </c>
      <c r="E1005" t="s">
        <v>3641</v>
      </c>
      <c r="F1005" t="s">
        <v>55</v>
      </c>
      <c r="G1005">
        <v>5</v>
      </c>
      <c r="H1005">
        <v>319.97000000000003</v>
      </c>
      <c r="I1005" t="s">
        <v>3632</v>
      </c>
      <c r="J1005" t="s">
        <v>72</v>
      </c>
      <c r="K1005" t="s">
        <v>23</v>
      </c>
      <c r="L1005" t="s">
        <v>3642</v>
      </c>
      <c r="M1005">
        <v>7</v>
      </c>
      <c r="N1005" t="s">
        <v>25</v>
      </c>
      <c r="O1005" t="s">
        <v>83</v>
      </c>
      <c r="P1005">
        <v>1599.85</v>
      </c>
      <c r="Q1005">
        <v>1599.85</v>
      </c>
      <c r="R1005" t="str">
        <f>IF(OR(P1005&lt;Outliers!$B$5, P1005&gt;Outliers!$B$6), "outliers", "")</f>
        <v/>
      </c>
    </row>
    <row r="1006" spans="1:18" x14ac:dyDescent="0.25">
      <c r="A1006" t="s">
        <v>3643</v>
      </c>
      <c r="B1006" s="1">
        <v>45817</v>
      </c>
      <c r="C1006">
        <v>2025</v>
      </c>
      <c r="D1006" t="s">
        <v>53</v>
      </c>
      <c r="E1006" t="s">
        <v>3644</v>
      </c>
      <c r="F1006" t="s">
        <v>47</v>
      </c>
      <c r="G1006">
        <v>4</v>
      </c>
      <c r="H1006">
        <v>246.91</v>
      </c>
      <c r="I1006" t="s">
        <v>152</v>
      </c>
      <c r="J1006" t="s">
        <v>32</v>
      </c>
      <c r="K1006" t="s">
        <v>96</v>
      </c>
      <c r="L1006" t="s">
        <v>3645</v>
      </c>
      <c r="M1006">
        <v>8</v>
      </c>
      <c r="N1006" t="s">
        <v>25</v>
      </c>
      <c r="O1006" t="s">
        <v>34</v>
      </c>
      <c r="P1006">
        <v>987.64</v>
      </c>
      <c r="Q1006">
        <v>987.64</v>
      </c>
      <c r="R1006" t="str">
        <f>IF(OR(P1006&lt;Outliers!$B$5, P1006&gt;Outliers!$B$6), "outliers", "")</f>
        <v/>
      </c>
    </row>
    <row r="1007" spans="1:18" x14ac:dyDescent="0.25">
      <c r="A1007" t="s">
        <v>3646</v>
      </c>
      <c r="B1007" s="1">
        <v>44987</v>
      </c>
      <c r="C1007">
        <v>2023</v>
      </c>
      <c r="D1007" t="s">
        <v>18</v>
      </c>
      <c r="E1007" t="s">
        <v>3647</v>
      </c>
      <c r="F1007" t="s">
        <v>55</v>
      </c>
      <c r="G1007">
        <v>3</v>
      </c>
      <c r="H1007">
        <v>392.85</v>
      </c>
      <c r="I1007" t="s">
        <v>2955</v>
      </c>
      <c r="J1007" t="s">
        <v>39</v>
      </c>
      <c r="K1007" t="s">
        <v>49</v>
      </c>
      <c r="L1007" t="s">
        <v>3648</v>
      </c>
      <c r="M1007">
        <v>6</v>
      </c>
      <c r="O1007" t="s">
        <v>83</v>
      </c>
      <c r="P1007">
        <v>1178.55</v>
      </c>
      <c r="Q1007">
        <v>1178.55</v>
      </c>
      <c r="R1007" t="str">
        <f>IF(OR(P1007&lt;Outliers!$B$5, P1007&gt;Outliers!$B$6), "outliers", "")</f>
        <v/>
      </c>
    </row>
    <row r="1008" spans="1:18" x14ac:dyDescent="0.25">
      <c r="A1008" t="s">
        <v>3649</v>
      </c>
      <c r="B1008" s="1">
        <v>45439</v>
      </c>
      <c r="C1008">
        <v>2024</v>
      </c>
      <c r="D1008" t="s">
        <v>53</v>
      </c>
      <c r="E1008" t="s">
        <v>3650</v>
      </c>
      <c r="F1008" t="s">
        <v>37</v>
      </c>
      <c r="G1008">
        <v>5</v>
      </c>
      <c r="H1008">
        <v>420.98</v>
      </c>
      <c r="I1008" t="s">
        <v>2526</v>
      </c>
      <c r="J1008" t="s">
        <v>72</v>
      </c>
      <c r="K1008" t="s">
        <v>57</v>
      </c>
      <c r="L1008" t="s">
        <v>3651</v>
      </c>
      <c r="M1008">
        <v>7</v>
      </c>
      <c r="N1008" t="s">
        <v>25</v>
      </c>
      <c r="O1008" t="s">
        <v>51</v>
      </c>
      <c r="P1008">
        <v>2104.9</v>
      </c>
      <c r="Q1008">
        <v>2104.9</v>
      </c>
      <c r="R1008" t="str">
        <f>IF(OR(P1008&lt;Outliers!$B$5, P1008&gt;Outliers!$B$6), "outliers", "")</f>
        <v/>
      </c>
    </row>
    <row r="1009" spans="1:18" x14ac:dyDescent="0.25">
      <c r="A1009" t="s">
        <v>3652</v>
      </c>
      <c r="B1009" s="1">
        <v>45371</v>
      </c>
      <c r="C1009">
        <v>2024</v>
      </c>
      <c r="D1009" t="s">
        <v>18</v>
      </c>
      <c r="E1009" t="s">
        <v>1875</v>
      </c>
      <c r="F1009" t="s">
        <v>20</v>
      </c>
      <c r="G1009">
        <v>2</v>
      </c>
      <c r="H1009">
        <v>73.260000000000005</v>
      </c>
      <c r="I1009" t="s">
        <v>422</v>
      </c>
      <c r="J1009" t="s">
        <v>72</v>
      </c>
      <c r="K1009" t="s">
        <v>96</v>
      </c>
      <c r="L1009" t="s">
        <v>3653</v>
      </c>
      <c r="M1009">
        <v>4</v>
      </c>
      <c r="N1009" t="s">
        <v>88</v>
      </c>
      <c r="O1009" t="s">
        <v>51</v>
      </c>
      <c r="P1009">
        <v>146.52000000000001</v>
      </c>
      <c r="Q1009">
        <v>146.52000000000001</v>
      </c>
      <c r="R1009" t="str">
        <f>IF(OR(P1009&lt;Outliers!$B$5, P1009&gt;Outliers!$B$6), "outliers", "")</f>
        <v/>
      </c>
    </row>
    <row r="1010" spans="1:18" x14ac:dyDescent="0.25">
      <c r="A1010" t="s">
        <v>3654</v>
      </c>
      <c r="B1010" s="1">
        <v>44939</v>
      </c>
      <c r="C1010">
        <v>2023</v>
      </c>
      <c r="D1010" t="s">
        <v>18</v>
      </c>
      <c r="E1010" t="s">
        <v>3655</v>
      </c>
      <c r="F1010" t="s">
        <v>20</v>
      </c>
      <c r="G1010">
        <v>3</v>
      </c>
      <c r="H1010">
        <v>410.88</v>
      </c>
      <c r="I1010" t="s">
        <v>2873</v>
      </c>
      <c r="J1010" t="s">
        <v>72</v>
      </c>
      <c r="K1010" t="s">
        <v>57</v>
      </c>
      <c r="L1010" t="s">
        <v>3656</v>
      </c>
      <c r="M1010">
        <v>8</v>
      </c>
      <c r="N1010" t="s">
        <v>42</v>
      </c>
      <c r="O1010" t="s">
        <v>26</v>
      </c>
      <c r="P1010">
        <v>1232.6400000000001</v>
      </c>
      <c r="Q1010">
        <v>1232.6400000000001</v>
      </c>
      <c r="R1010" t="str">
        <f>IF(OR(P1010&lt;Outliers!$B$5, P1010&gt;Outliers!$B$6), "outliers", "")</f>
        <v/>
      </c>
    </row>
    <row r="1011" spans="1:18" x14ac:dyDescent="0.25">
      <c r="A1011" t="s">
        <v>3657</v>
      </c>
      <c r="B1011" s="1">
        <v>45171</v>
      </c>
      <c r="C1011">
        <v>2023</v>
      </c>
      <c r="D1011" t="s">
        <v>28</v>
      </c>
      <c r="E1011" t="s">
        <v>3658</v>
      </c>
      <c r="F1011" t="s">
        <v>37</v>
      </c>
      <c r="G1011">
        <v>2</v>
      </c>
      <c r="H1011">
        <v>176.46</v>
      </c>
      <c r="I1011" t="s">
        <v>1952</v>
      </c>
      <c r="J1011" t="s">
        <v>39</v>
      </c>
      <c r="K1011" t="s">
        <v>57</v>
      </c>
      <c r="L1011" t="s">
        <v>3659</v>
      </c>
      <c r="M1011">
        <v>2</v>
      </c>
      <c r="N1011" t="s">
        <v>42</v>
      </c>
      <c r="O1011" t="s">
        <v>43</v>
      </c>
      <c r="P1011">
        <v>352.92</v>
      </c>
      <c r="Q1011">
        <v>352.92</v>
      </c>
      <c r="R1011" t="str">
        <f>IF(OR(P1011&lt;Outliers!$B$5, P1011&gt;Outliers!$B$6), "outliers", "")</f>
        <v/>
      </c>
    </row>
    <row r="1012" spans="1:18" x14ac:dyDescent="0.25">
      <c r="A1012" t="s">
        <v>3660</v>
      </c>
      <c r="B1012" s="1">
        <v>45016</v>
      </c>
      <c r="C1012">
        <v>2023</v>
      </c>
      <c r="D1012" t="s">
        <v>18</v>
      </c>
      <c r="E1012" t="s">
        <v>3661</v>
      </c>
      <c r="F1012" t="s">
        <v>20</v>
      </c>
      <c r="G1012">
        <v>3</v>
      </c>
      <c r="H1012">
        <v>659.57</v>
      </c>
      <c r="I1012" t="s">
        <v>433</v>
      </c>
      <c r="J1012" t="s">
        <v>39</v>
      </c>
      <c r="K1012" t="s">
        <v>40</v>
      </c>
      <c r="L1012" t="s">
        <v>3662</v>
      </c>
      <c r="M1012">
        <v>6</v>
      </c>
      <c r="N1012" t="s">
        <v>25</v>
      </c>
      <c r="O1012" t="s">
        <v>43</v>
      </c>
      <c r="P1012">
        <v>1978.71</v>
      </c>
      <c r="Q1012">
        <v>1978.71</v>
      </c>
      <c r="R1012" t="str">
        <f>IF(OR(P1012&lt;Outliers!$B$5, P1012&gt;Outliers!$B$6), "outliers", "")</f>
        <v/>
      </c>
    </row>
    <row r="1013" spans="1:18" x14ac:dyDescent="0.25">
      <c r="A1013" t="s">
        <v>3663</v>
      </c>
      <c r="B1013" s="1">
        <v>45629</v>
      </c>
      <c r="C1013">
        <v>2024</v>
      </c>
      <c r="D1013" t="s">
        <v>45</v>
      </c>
      <c r="E1013" t="s">
        <v>3664</v>
      </c>
      <c r="F1013" t="s">
        <v>30</v>
      </c>
      <c r="G1013">
        <v>2</v>
      </c>
      <c r="H1013">
        <v>478.36</v>
      </c>
      <c r="I1013" t="s">
        <v>1112</v>
      </c>
      <c r="J1013" t="s">
        <v>32</v>
      </c>
      <c r="K1013" t="s">
        <v>23</v>
      </c>
      <c r="L1013" t="s">
        <v>3665</v>
      </c>
      <c r="M1013">
        <v>3</v>
      </c>
      <c r="O1013" t="s">
        <v>83</v>
      </c>
      <c r="P1013">
        <v>956.72</v>
      </c>
      <c r="Q1013">
        <v>956.72</v>
      </c>
      <c r="R1013" t="str">
        <f>IF(OR(P1013&lt;Outliers!$B$5, P1013&gt;Outliers!$B$6), "outliers", "")</f>
        <v/>
      </c>
    </row>
    <row r="1014" spans="1:18" x14ac:dyDescent="0.25">
      <c r="A1014" t="s">
        <v>3666</v>
      </c>
      <c r="B1014" s="1">
        <v>45629</v>
      </c>
      <c r="C1014">
        <v>2024</v>
      </c>
      <c r="D1014" t="s">
        <v>45</v>
      </c>
      <c r="E1014" t="s">
        <v>3667</v>
      </c>
      <c r="F1014" t="s">
        <v>55</v>
      </c>
      <c r="G1014">
        <v>4</v>
      </c>
      <c r="H1014">
        <v>30.05</v>
      </c>
      <c r="I1014" t="s">
        <v>1259</v>
      </c>
      <c r="J1014" t="s">
        <v>32</v>
      </c>
      <c r="K1014" t="s">
        <v>49</v>
      </c>
      <c r="L1014" t="s">
        <v>3668</v>
      </c>
      <c r="M1014">
        <v>6</v>
      </c>
      <c r="O1014" t="s">
        <v>51</v>
      </c>
      <c r="P1014">
        <v>120.2</v>
      </c>
      <c r="Q1014">
        <v>120.2</v>
      </c>
      <c r="R1014" t="str">
        <f>IF(OR(P1014&lt;Outliers!$B$5, P1014&gt;Outliers!$B$6), "outliers", "")</f>
        <v/>
      </c>
    </row>
    <row r="1015" spans="1:18" x14ac:dyDescent="0.25">
      <c r="A1015" t="s">
        <v>3669</v>
      </c>
      <c r="B1015" s="1">
        <v>45773</v>
      </c>
      <c r="C1015">
        <v>2025</v>
      </c>
      <c r="D1015" t="s">
        <v>53</v>
      </c>
      <c r="E1015" t="s">
        <v>3670</v>
      </c>
      <c r="F1015" t="s">
        <v>65</v>
      </c>
      <c r="G1015">
        <v>4</v>
      </c>
      <c r="H1015">
        <v>300.56</v>
      </c>
      <c r="I1015" t="s">
        <v>272</v>
      </c>
      <c r="J1015" t="s">
        <v>72</v>
      </c>
      <c r="K1015" t="s">
        <v>40</v>
      </c>
      <c r="L1015" t="s">
        <v>3671</v>
      </c>
      <c r="M1015">
        <v>9</v>
      </c>
      <c r="N1015" t="s">
        <v>42</v>
      </c>
      <c r="O1015" t="s">
        <v>51</v>
      </c>
      <c r="P1015">
        <v>1202.24</v>
      </c>
      <c r="Q1015">
        <v>1202.24</v>
      </c>
      <c r="R1015" t="str">
        <f>IF(OR(P1015&lt;Outliers!$B$5, P1015&gt;Outliers!$B$6), "outliers", "")</f>
        <v/>
      </c>
    </row>
    <row r="1016" spans="1:18" x14ac:dyDescent="0.25">
      <c r="A1016" t="s">
        <v>3672</v>
      </c>
      <c r="B1016" s="1">
        <v>45326</v>
      </c>
      <c r="C1016">
        <v>2024</v>
      </c>
      <c r="D1016" t="s">
        <v>18</v>
      </c>
      <c r="E1016" t="s">
        <v>3673</v>
      </c>
      <c r="F1016" t="s">
        <v>37</v>
      </c>
      <c r="G1016">
        <v>5</v>
      </c>
      <c r="H1016">
        <v>226.45</v>
      </c>
      <c r="I1016" t="s">
        <v>1750</v>
      </c>
      <c r="J1016" t="s">
        <v>22</v>
      </c>
      <c r="K1016" t="s">
        <v>49</v>
      </c>
      <c r="L1016" t="s">
        <v>3674</v>
      </c>
      <c r="M1016">
        <v>6</v>
      </c>
      <c r="N1016" t="s">
        <v>42</v>
      </c>
      <c r="O1016" t="s">
        <v>43</v>
      </c>
      <c r="P1016">
        <v>1132.25</v>
      </c>
      <c r="Q1016">
        <v>1132.25</v>
      </c>
      <c r="R1016" t="str">
        <f>IF(OR(P1016&lt;Outliers!$B$5, P1016&gt;Outliers!$B$6), "outliers", "")</f>
        <v/>
      </c>
    </row>
    <row r="1017" spans="1:18" x14ac:dyDescent="0.25">
      <c r="A1017" t="s">
        <v>3675</v>
      </c>
      <c r="B1017" s="1">
        <v>45317</v>
      </c>
      <c r="C1017">
        <v>2024</v>
      </c>
      <c r="D1017" t="s">
        <v>18</v>
      </c>
      <c r="E1017" t="s">
        <v>3676</v>
      </c>
      <c r="F1017" t="s">
        <v>55</v>
      </c>
      <c r="G1017">
        <v>2</v>
      </c>
      <c r="H1017">
        <v>349.4</v>
      </c>
      <c r="I1017" t="s">
        <v>2290</v>
      </c>
      <c r="J1017" t="s">
        <v>32</v>
      </c>
      <c r="K1017" t="s">
        <v>23</v>
      </c>
      <c r="L1017" t="s">
        <v>3677</v>
      </c>
      <c r="M1017">
        <v>2</v>
      </c>
      <c r="N1017" t="s">
        <v>25</v>
      </c>
      <c r="O1017" t="s">
        <v>26</v>
      </c>
      <c r="P1017">
        <v>698.8</v>
      </c>
      <c r="Q1017">
        <v>698.8</v>
      </c>
      <c r="R1017" t="str">
        <f>IF(OR(P1017&lt;Outliers!$B$5, P1017&gt;Outliers!$B$6), "outliers", "")</f>
        <v/>
      </c>
    </row>
    <row r="1018" spans="1:18" x14ac:dyDescent="0.25">
      <c r="A1018" t="s">
        <v>3678</v>
      </c>
      <c r="B1018" s="1">
        <v>45289</v>
      </c>
      <c r="C1018">
        <v>2023</v>
      </c>
      <c r="D1018" t="s">
        <v>45</v>
      </c>
      <c r="E1018" t="s">
        <v>3679</v>
      </c>
      <c r="F1018" t="s">
        <v>37</v>
      </c>
      <c r="G1018">
        <v>5</v>
      </c>
      <c r="H1018">
        <v>268.77999999999997</v>
      </c>
      <c r="I1018" t="s">
        <v>3680</v>
      </c>
      <c r="J1018" t="s">
        <v>22</v>
      </c>
      <c r="K1018" t="s">
        <v>57</v>
      </c>
      <c r="L1018" t="s">
        <v>3681</v>
      </c>
      <c r="M1018">
        <v>7</v>
      </c>
      <c r="N1018" t="s">
        <v>88</v>
      </c>
      <c r="O1018" t="s">
        <v>43</v>
      </c>
      <c r="P1018">
        <v>1343.9</v>
      </c>
      <c r="Q1018">
        <v>1343.9</v>
      </c>
      <c r="R1018" t="str">
        <f>IF(OR(P1018&lt;Outliers!$B$5, P1018&gt;Outliers!$B$6), "outliers", "")</f>
        <v/>
      </c>
    </row>
    <row r="1019" spans="1:18" x14ac:dyDescent="0.25">
      <c r="A1019" t="s">
        <v>3682</v>
      </c>
      <c r="B1019" s="1">
        <v>45529</v>
      </c>
      <c r="C1019">
        <v>2024</v>
      </c>
      <c r="D1019" t="s">
        <v>28</v>
      </c>
      <c r="E1019" t="s">
        <v>3683</v>
      </c>
      <c r="F1019" t="s">
        <v>47</v>
      </c>
      <c r="G1019">
        <v>2</v>
      </c>
      <c r="H1019">
        <v>680.85</v>
      </c>
      <c r="I1019" t="s">
        <v>3684</v>
      </c>
      <c r="J1019" t="s">
        <v>67</v>
      </c>
      <c r="K1019" t="s">
        <v>57</v>
      </c>
      <c r="L1019" t="s">
        <v>3685</v>
      </c>
      <c r="M1019">
        <v>6</v>
      </c>
      <c r="N1019" t="s">
        <v>42</v>
      </c>
      <c r="O1019" t="s">
        <v>34</v>
      </c>
      <c r="P1019">
        <v>1361.7</v>
      </c>
      <c r="Q1019">
        <v>1361.7</v>
      </c>
      <c r="R1019" t="str">
        <f>IF(OR(P1019&lt;Outliers!$B$5, P1019&gt;Outliers!$B$6), "outliers", "")</f>
        <v/>
      </c>
    </row>
    <row r="1020" spans="1:18" x14ac:dyDescent="0.25">
      <c r="A1020" t="s">
        <v>3686</v>
      </c>
      <c r="B1020" s="1">
        <v>45115</v>
      </c>
      <c r="C1020">
        <v>2023</v>
      </c>
      <c r="D1020" t="s">
        <v>28</v>
      </c>
      <c r="E1020" t="s">
        <v>3687</v>
      </c>
      <c r="F1020" t="s">
        <v>65</v>
      </c>
      <c r="G1020">
        <v>3</v>
      </c>
      <c r="H1020">
        <v>182.48</v>
      </c>
      <c r="I1020" t="s">
        <v>3688</v>
      </c>
      <c r="J1020" t="s">
        <v>72</v>
      </c>
      <c r="K1020" t="s">
        <v>57</v>
      </c>
      <c r="L1020" t="s">
        <v>3689</v>
      </c>
      <c r="M1020">
        <v>3</v>
      </c>
      <c r="O1020" t="s">
        <v>26</v>
      </c>
      <c r="P1020">
        <v>547.44000000000005</v>
      </c>
      <c r="Q1020">
        <v>547.44000000000005</v>
      </c>
      <c r="R1020" t="str">
        <f>IF(OR(P1020&lt;Outliers!$B$5, P1020&gt;Outliers!$B$6), "outliers", "")</f>
        <v/>
      </c>
    </row>
    <row r="1021" spans="1:18" x14ac:dyDescent="0.25">
      <c r="A1021" t="s">
        <v>3690</v>
      </c>
      <c r="B1021" s="1">
        <v>45388</v>
      </c>
      <c r="C1021">
        <v>2024</v>
      </c>
      <c r="D1021" t="s">
        <v>53</v>
      </c>
      <c r="E1021" t="s">
        <v>3691</v>
      </c>
      <c r="F1021" t="s">
        <v>80</v>
      </c>
      <c r="G1021">
        <v>1</v>
      </c>
      <c r="H1021">
        <v>277.08999999999997</v>
      </c>
      <c r="I1021" t="s">
        <v>1355</v>
      </c>
      <c r="J1021" t="s">
        <v>72</v>
      </c>
      <c r="K1021" t="s">
        <v>49</v>
      </c>
      <c r="L1021" t="s">
        <v>3692</v>
      </c>
      <c r="M1021">
        <v>2</v>
      </c>
      <c r="N1021" t="s">
        <v>25</v>
      </c>
      <c r="O1021" t="s">
        <v>34</v>
      </c>
      <c r="P1021">
        <v>277.08999999999997</v>
      </c>
      <c r="Q1021">
        <v>277.08999999999997</v>
      </c>
      <c r="R1021" t="str">
        <f>IF(OR(P1021&lt;Outliers!$B$5, P1021&gt;Outliers!$B$6), "outliers", "")</f>
        <v/>
      </c>
    </row>
    <row r="1022" spans="1:18" x14ac:dyDescent="0.25">
      <c r="A1022" t="s">
        <v>3693</v>
      </c>
      <c r="B1022" s="1">
        <v>45404</v>
      </c>
      <c r="C1022">
        <v>2024</v>
      </c>
      <c r="D1022" t="s">
        <v>53</v>
      </c>
      <c r="E1022" t="s">
        <v>3694</v>
      </c>
      <c r="F1022" t="s">
        <v>37</v>
      </c>
      <c r="G1022">
        <v>2</v>
      </c>
      <c r="H1022">
        <v>26.5</v>
      </c>
      <c r="I1022" t="s">
        <v>1438</v>
      </c>
      <c r="J1022" t="s">
        <v>32</v>
      </c>
      <c r="K1022" t="s">
        <v>57</v>
      </c>
      <c r="L1022" t="s">
        <v>3695</v>
      </c>
      <c r="M1022">
        <v>3</v>
      </c>
      <c r="N1022" t="s">
        <v>25</v>
      </c>
      <c r="O1022" t="s">
        <v>26</v>
      </c>
      <c r="P1022">
        <v>53</v>
      </c>
      <c r="Q1022">
        <v>53</v>
      </c>
      <c r="R1022" t="str">
        <f>IF(OR(P1022&lt;Outliers!$B$5, P1022&gt;Outliers!$B$6), "outliers", "")</f>
        <v/>
      </c>
    </row>
    <row r="1023" spans="1:18" x14ac:dyDescent="0.25">
      <c r="A1023" t="s">
        <v>3696</v>
      </c>
      <c r="B1023" s="1">
        <v>45222</v>
      </c>
      <c r="C1023">
        <v>2023</v>
      </c>
      <c r="D1023" t="s">
        <v>45</v>
      </c>
      <c r="E1023" t="s">
        <v>3697</v>
      </c>
      <c r="F1023" t="s">
        <v>30</v>
      </c>
      <c r="G1023">
        <v>3</v>
      </c>
      <c r="H1023">
        <v>315.27</v>
      </c>
      <c r="I1023" t="s">
        <v>3199</v>
      </c>
      <c r="J1023" t="s">
        <v>39</v>
      </c>
      <c r="K1023" t="s">
        <v>40</v>
      </c>
      <c r="L1023" t="s">
        <v>3698</v>
      </c>
      <c r="M1023">
        <v>4</v>
      </c>
      <c r="N1023" t="s">
        <v>25</v>
      </c>
      <c r="O1023" t="s">
        <v>43</v>
      </c>
      <c r="P1023">
        <v>945.81</v>
      </c>
      <c r="Q1023">
        <v>945.81</v>
      </c>
      <c r="R1023" t="str">
        <f>IF(OR(P1023&lt;Outliers!$B$5, P1023&gt;Outliers!$B$6), "outliers", "")</f>
        <v/>
      </c>
    </row>
    <row r="1024" spans="1:18" x14ac:dyDescent="0.25">
      <c r="A1024" t="s">
        <v>3699</v>
      </c>
      <c r="B1024" s="1">
        <v>45712</v>
      </c>
      <c r="C1024">
        <v>2025</v>
      </c>
      <c r="D1024" t="s">
        <v>18</v>
      </c>
      <c r="E1024" t="s">
        <v>3700</v>
      </c>
      <c r="F1024" t="s">
        <v>37</v>
      </c>
      <c r="G1024">
        <v>3</v>
      </c>
      <c r="H1024">
        <v>450.98</v>
      </c>
      <c r="I1024" t="s">
        <v>2586</v>
      </c>
      <c r="J1024" t="s">
        <v>39</v>
      </c>
      <c r="K1024" t="s">
        <v>23</v>
      </c>
      <c r="L1024" t="s">
        <v>3701</v>
      </c>
      <c r="M1024">
        <v>8</v>
      </c>
      <c r="N1024" t="s">
        <v>25</v>
      </c>
      <c r="O1024" t="s">
        <v>34</v>
      </c>
      <c r="P1024">
        <v>1352.94</v>
      </c>
      <c r="Q1024">
        <v>1352.94</v>
      </c>
      <c r="R1024" t="str">
        <f>IF(OR(P1024&lt;Outliers!$B$5, P1024&gt;Outliers!$B$6), "outliers", "")</f>
        <v/>
      </c>
    </row>
    <row r="1025" spans="1:18" x14ac:dyDescent="0.25">
      <c r="A1025" t="s">
        <v>3702</v>
      </c>
      <c r="B1025" s="1">
        <v>45558</v>
      </c>
      <c r="C1025">
        <v>2024</v>
      </c>
      <c r="D1025" t="s">
        <v>28</v>
      </c>
      <c r="E1025" t="s">
        <v>3703</v>
      </c>
      <c r="F1025" t="s">
        <v>65</v>
      </c>
      <c r="G1025">
        <v>5</v>
      </c>
      <c r="H1025">
        <v>233.67</v>
      </c>
      <c r="I1025" t="s">
        <v>398</v>
      </c>
      <c r="J1025" t="s">
        <v>72</v>
      </c>
      <c r="K1025" t="s">
        <v>23</v>
      </c>
      <c r="L1025" t="s">
        <v>3704</v>
      </c>
      <c r="M1025">
        <v>10</v>
      </c>
      <c r="O1025" t="s">
        <v>34</v>
      </c>
      <c r="P1025">
        <v>1168.3499999999999</v>
      </c>
      <c r="Q1025">
        <v>1168.3499999999999</v>
      </c>
      <c r="R1025" t="str">
        <f>IF(OR(P1025&lt;Outliers!$B$5, P1025&gt;Outliers!$B$6), "outliers", "")</f>
        <v/>
      </c>
    </row>
    <row r="1026" spans="1:18" x14ac:dyDescent="0.25">
      <c r="A1026" t="s">
        <v>3705</v>
      </c>
      <c r="B1026" s="1">
        <v>45320</v>
      </c>
      <c r="C1026">
        <v>2024</v>
      </c>
      <c r="D1026" t="s">
        <v>18</v>
      </c>
      <c r="E1026" t="s">
        <v>3706</v>
      </c>
      <c r="F1026" t="s">
        <v>47</v>
      </c>
      <c r="G1026">
        <v>3</v>
      </c>
      <c r="H1026">
        <v>367.75</v>
      </c>
      <c r="I1026" t="s">
        <v>1793</v>
      </c>
      <c r="J1026" t="s">
        <v>72</v>
      </c>
      <c r="K1026" t="s">
        <v>96</v>
      </c>
      <c r="L1026" t="s">
        <v>3707</v>
      </c>
      <c r="M1026">
        <v>7</v>
      </c>
      <c r="N1026" t="s">
        <v>42</v>
      </c>
      <c r="O1026" t="s">
        <v>51</v>
      </c>
      <c r="P1026">
        <v>1103.25</v>
      </c>
      <c r="Q1026">
        <v>1103.25</v>
      </c>
      <c r="R1026" t="str">
        <f>IF(OR(P1026&lt;Outliers!$B$5, P1026&gt;Outliers!$B$6), "outliers", "")</f>
        <v/>
      </c>
    </row>
    <row r="1027" spans="1:18" x14ac:dyDescent="0.25">
      <c r="A1027" t="s">
        <v>3708</v>
      </c>
      <c r="B1027" s="1">
        <v>45794</v>
      </c>
      <c r="C1027">
        <v>2025</v>
      </c>
      <c r="D1027" t="s">
        <v>53</v>
      </c>
      <c r="E1027" t="s">
        <v>3709</v>
      </c>
      <c r="F1027" t="s">
        <v>47</v>
      </c>
      <c r="G1027">
        <v>1</v>
      </c>
      <c r="H1027">
        <v>23.53</v>
      </c>
      <c r="I1027" t="s">
        <v>633</v>
      </c>
      <c r="J1027" t="s">
        <v>67</v>
      </c>
      <c r="K1027" t="s">
        <v>57</v>
      </c>
      <c r="L1027" t="s">
        <v>3710</v>
      </c>
      <c r="M1027">
        <v>2</v>
      </c>
      <c r="N1027" t="s">
        <v>42</v>
      </c>
      <c r="O1027" t="s">
        <v>26</v>
      </c>
      <c r="P1027">
        <v>23.53</v>
      </c>
      <c r="Q1027">
        <v>23.53</v>
      </c>
      <c r="R1027" t="str">
        <f>IF(OR(P1027&lt;Outliers!$B$5, P1027&gt;Outliers!$B$6), "outliers", "")</f>
        <v/>
      </c>
    </row>
    <row r="1028" spans="1:18" x14ac:dyDescent="0.25">
      <c r="A1028" t="s">
        <v>3711</v>
      </c>
      <c r="B1028" s="1">
        <v>45047</v>
      </c>
      <c r="C1028">
        <v>2023</v>
      </c>
      <c r="D1028" t="s">
        <v>53</v>
      </c>
      <c r="E1028" t="s">
        <v>3712</v>
      </c>
      <c r="F1028" t="s">
        <v>20</v>
      </c>
      <c r="G1028">
        <v>1</v>
      </c>
      <c r="H1028">
        <v>677.48</v>
      </c>
      <c r="I1028" t="s">
        <v>513</v>
      </c>
      <c r="J1028" t="s">
        <v>32</v>
      </c>
      <c r="K1028" t="s">
        <v>57</v>
      </c>
      <c r="L1028" t="s">
        <v>3713</v>
      </c>
      <c r="M1028">
        <v>1</v>
      </c>
      <c r="N1028" t="s">
        <v>88</v>
      </c>
      <c r="O1028" t="s">
        <v>51</v>
      </c>
      <c r="P1028">
        <v>677.48</v>
      </c>
      <c r="Q1028">
        <v>677.48</v>
      </c>
      <c r="R1028" t="str">
        <f>IF(OR(P1028&lt;Outliers!$B$5, P1028&gt;Outliers!$B$6), "outliers", "")</f>
        <v/>
      </c>
    </row>
    <row r="1029" spans="1:18" x14ac:dyDescent="0.25">
      <c r="A1029" t="s">
        <v>3714</v>
      </c>
      <c r="B1029" s="1">
        <v>45433</v>
      </c>
      <c r="C1029">
        <v>2024</v>
      </c>
      <c r="D1029" t="s">
        <v>53</v>
      </c>
      <c r="E1029" t="s">
        <v>3715</v>
      </c>
      <c r="F1029" t="s">
        <v>65</v>
      </c>
      <c r="G1029">
        <v>4</v>
      </c>
      <c r="H1029">
        <v>554.83000000000004</v>
      </c>
      <c r="I1029" t="s">
        <v>2805</v>
      </c>
      <c r="J1029" t="s">
        <v>72</v>
      </c>
      <c r="K1029" t="s">
        <v>49</v>
      </c>
      <c r="L1029" t="s">
        <v>3716</v>
      </c>
      <c r="M1029">
        <v>6</v>
      </c>
      <c r="O1029" t="s">
        <v>83</v>
      </c>
      <c r="P1029">
        <v>2219.3200000000002</v>
      </c>
      <c r="Q1029">
        <v>2219.3200000000002</v>
      </c>
      <c r="R1029" t="str">
        <f>IF(OR(P1029&lt;Outliers!$B$5, P1029&gt;Outliers!$B$6), "outliers", "")</f>
        <v/>
      </c>
    </row>
    <row r="1030" spans="1:18" x14ac:dyDescent="0.25">
      <c r="A1030" t="s">
        <v>3717</v>
      </c>
      <c r="B1030" s="1">
        <v>44974</v>
      </c>
      <c r="C1030">
        <v>2023</v>
      </c>
      <c r="D1030" t="s">
        <v>18</v>
      </c>
      <c r="E1030" t="s">
        <v>3718</v>
      </c>
      <c r="F1030" t="s">
        <v>80</v>
      </c>
      <c r="G1030">
        <v>4</v>
      </c>
      <c r="H1030">
        <v>440.31</v>
      </c>
      <c r="I1030" t="s">
        <v>944</v>
      </c>
      <c r="J1030" t="s">
        <v>72</v>
      </c>
      <c r="K1030" t="s">
        <v>40</v>
      </c>
      <c r="L1030" t="s">
        <v>3719</v>
      </c>
      <c r="M1030">
        <v>6</v>
      </c>
      <c r="O1030" t="s">
        <v>26</v>
      </c>
      <c r="P1030">
        <v>1761.24</v>
      </c>
      <c r="Q1030">
        <v>1761.24</v>
      </c>
      <c r="R1030" t="str">
        <f>IF(OR(P1030&lt;Outliers!$B$5, P1030&gt;Outliers!$B$6), "outliers", "")</f>
        <v/>
      </c>
    </row>
    <row r="1031" spans="1:18" x14ac:dyDescent="0.25">
      <c r="A1031" t="s">
        <v>3720</v>
      </c>
      <c r="B1031" s="1">
        <v>45717</v>
      </c>
      <c r="C1031">
        <v>2025</v>
      </c>
      <c r="D1031" t="s">
        <v>18</v>
      </c>
      <c r="E1031" t="s">
        <v>3721</v>
      </c>
      <c r="F1031" t="s">
        <v>80</v>
      </c>
      <c r="G1031">
        <v>1</v>
      </c>
      <c r="H1031">
        <v>87.06</v>
      </c>
      <c r="I1031" t="s">
        <v>3490</v>
      </c>
      <c r="J1031" t="s">
        <v>39</v>
      </c>
      <c r="K1031" t="s">
        <v>23</v>
      </c>
      <c r="L1031" t="s">
        <v>3722</v>
      </c>
      <c r="M1031">
        <v>4</v>
      </c>
      <c r="N1031" t="s">
        <v>42</v>
      </c>
      <c r="O1031" t="s">
        <v>43</v>
      </c>
      <c r="P1031">
        <v>87.06</v>
      </c>
      <c r="Q1031">
        <v>87.06</v>
      </c>
      <c r="R1031" t="str">
        <f>IF(OR(P1031&lt;Outliers!$B$5, P1031&gt;Outliers!$B$6), "outliers", "")</f>
        <v/>
      </c>
    </row>
    <row r="1032" spans="1:18" x14ac:dyDescent="0.25">
      <c r="A1032" t="s">
        <v>3723</v>
      </c>
      <c r="B1032" s="1">
        <v>45201</v>
      </c>
      <c r="C1032">
        <v>2023</v>
      </c>
      <c r="D1032" t="s">
        <v>45</v>
      </c>
      <c r="E1032" t="s">
        <v>3724</v>
      </c>
      <c r="F1032" t="s">
        <v>30</v>
      </c>
      <c r="G1032">
        <v>4</v>
      </c>
      <c r="H1032">
        <v>245.28</v>
      </c>
      <c r="I1032" t="s">
        <v>3725</v>
      </c>
      <c r="J1032" t="s">
        <v>39</v>
      </c>
      <c r="K1032" t="s">
        <v>57</v>
      </c>
      <c r="L1032" t="s">
        <v>3726</v>
      </c>
      <c r="M1032">
        <v>6</v>
      </c>
      <c r="N1032" t="s">
        <v>88</v>
      </c>
      <c r="O1032" t="s">
        <v>43</v>
      </c>
      <c r="P1032">
        <v>981.12</v>
      </c>
      <c r="Q1032">
        <v>981.12</v>
      </c>
      <c r="R1032" t="str">
        <f>IF(OR(P1032&lt;Outliers!$B$5, P1032&gt;Outliers!$B$6), "outliers", "")</f>
        <v/>
      </c>
    </row>
    <row r="1033" spans="1:18" x14ac:dyDescent="0.25">
      <c r="A1033" t="s">
        <v>3727</v>
      </c>
      <c r="B1033" s="1">
        <v>44985</v>
      </c>
      <c r="C1033">
        <v>2023</v>
      </c>
      <c r="D1033" t="s">
        <v>18</v>
      </c>
      <c r="E1033" t="s">
        <v>3728</v>
      </c>
      <c r="F1033" t="s">
        <v>30</v>
      </c>
      <c r="G1033">
        <v>5</v>
      </c>
      <c r="H1033">
        <v>664.51</v>
      </c>
      <c r="I1033" t="s">
        <v>3729</v>
      </c>
      <c r="J1033" t="s">
        <v>22</v>
      </c>
      <c r="K1033" t="s">
        <v>96</v>
      </c>
      <c r="L1033" t="s">
        <v>3730</v>
      </c>
      <c r="M1033">
        <v>8</v>
      </c>
      <c r="N1033" t="s">
        <v>25</v>
      </c>
      <c r="O1033" t="s">
        <v>43</v>
      </c>
      <c r="P1033">
        <v>3322.55</v>
      </c>
      <c r="Q1033">
        <v>3322.55</v>
      </c>
      <c r="R1033" t="str">
        <f>IF(OR(P1033&lt;Outliers!$B$5, P1033&gt;Outliers!$B$6), "outliers", "")</f>
        <v/>
      </c>
    </row>
    <row r="1034" spans="1:18" x14ac:dyDescent="0.25">
      <c r="A1034" t="s">
        <v>3731</v>
      </c>
      <c r="B1034" s="1">
        <v>45036</v>
      </c>
      <c r="C1034">
        <v>2023</v>
      </c>
      <c r="D1034" t="s">
        <v>53</v>
      </c>
      <c r="E1034" t="s">
        <v>3732</v>
      </c>
      <c r="F1034" t="s">
        <v>47</v>
      </c>
      <c r="G1034">
        <v>1</v>
      </c>
      <c r="H1034">
        <v>618.67999999999995</v>
      </c>
      <c r="I1034" t="s">
        <v>1140</v>
      </c>
      <c r="J1034" t="s">
        <v>32</v>
      </c>
      <c r="K1034" t="s">
        <v>57</v>
      </c>
      <c r="L1034" t="s">
        <v>3733</v>
      </c>
      <c r="M1034">
        <v>6</v>
      </c>
      <c r="N1034" t="s">
        <v>88</v>
      </c>
      <c r="O1034" t="s">
        <v>34</v>
      </c>
      <c r="P1034">
        <v>618.67999999999995</v>
      </c>
      <c r="Q1034">
        <v>618.67999999999995</v>
      </c>
      <c r="R1034" t="str">
        <f>IF(OR(P1034&lt;Outliers!$B$5, P1034&gt;Outliers!$B$6), "outliers", "")</f>
        <v/>
      </c>
    </row>
    <row r="1035" spans="1:18" x14ac:dyDescent="0.25">
      <c r="A1035" t="s">
        <v>3734</v>
      </c>
      <c r="B1035" s="1">
        <v>45650</v>
      </c>
      <c r="C1035">
        <v>2024</v>
      </c>
      <c r="D1035" t="s">
        <v>45</v>
      </c>
      <c r="E1035" t="s">
        <v>3735</v>
      </c>
      <c r="F1035" t="s">
        <v>20</v>
      </c>
      <c r="G1035">
        <v>1</v>
      </c>
      <c r="H1035">
        <v>370.85</v>
      </c>
      <c r="I1035" t="s">
        <v>3736</v>
      </c>
      <c r="J1035" t="s">
        <v>67</v>
      </c>
      <c r="K1035" t="s">
        <v>57</v>
      </c>
      <c r="L1035" t="s">
        <v>3737</v>
      </c>
      <c r="M1035">
        <v>2</v>
      </c>
      <c r="N1035" t="s">
        <v>42</v>
      </c>
      <c r="O1035" t="s">
        <v>34</v>
      </c>
      <c r="P1035">
        <v>370.85</v>
      </c>
      <c r="Q1035">
        <v>370.85</v>
      </c>
      <c r="R1035" t="str">
        <f>IF(OR(P1035&lt;Outliers!$B$5, P1035&gt;Outliers!$B$6), "outliers", "")</f>
        <v/>
      </c>
    </row>
    <row r="1036" spans="1:18" x14ac:dyDescent="0.25">
      <c r="A1036" t="s">
        <v>3738</v>
      </c>
      <c r="B1036" s="1">
        <v>45459</v>
      </c>
      <c r="C1036">
        <v>2024</v>
      </c>
      <c r="D1036" t="s">
        <v>53</v>
      </c>
      <c r="E1036" t="s">
        <v>3739</v>
      </c>
      <c r="F1036" t="s">
        <v>55</v>
      </c>
      <c r="G1036">
        <v>4</v>
      </c>
      <c r="H1036">
        <v>517.98</v>
      </c>
      <c r="I1036" t="s">
        <v>3740</v>
      </c>
      <c r="J1036" t="s">
        <v>72</v>
      </c>
      <c r="K1036" t="s">
        <v>40</v>
      </c>
      <c r="L1036" t="s">
        <v>3741</v>
      </c>
      <c r="M1036">
        <v>8</v>
      </c>
      <c r="N1036" t="s">
        <v>42</v>
      </c>
      <c r="O1036" t="s">
        <v>51</v>
      </c>
      <c r="P1036">
        <v>2071.92</v>
      </c>
      <c r="Q1036">
        <v>2071.92</v>
      </c>
      <c r="R1036" t="str">
        <f>IF(OR(P1036&lt;Outliers!$B$5, P1036&gt;Outliers!$B$6), "outliers", "")</f>
        <v/>
      </c>
    </row>
    <row r="1037" spans="1:18" x14ac:dyDescent="0.25">
      <c r="A1037" t="s">
        <v>3742</v>
      </c>
      <c r="B1037" s="1">
        <v>45242</v>
      </c>
      <c r="C1037">
        <v>2023</v>
      </c>
      <c r="D1037" t="s">
        <v>45</v>
      </c>
      <c r="E1037" t="s">
        <v>3743</v>
      </c>
      <c r="F1037" t="s">
        <v>65</v>
      </c>
      <c r="G1037">
        <v>4</v>
      </c>
      <c r="H1037">
        <v>506.11</v>
      </c>
      <c r="I1037" t="s">
        <v>3744</v>
      </c>
      <c r="J1037" t="s">
        <v>72</v>
      </c>
      <c r="K1037" t="s">
        <v>40</v>
      </c>
      <c r="L1037" t="s">
        <v>3745</v>
      </c>
      <c r="M1037">
        <v>5</v>
      </c>
      <c r="O1037" t="s">
        <v>34</v>
      </c>
      <c r="P1037">
        <v>2024.44</v>
      </c>
      <c r="Q1037">
        <v>2024.44</v>
      </c>
      <c r="R1037" t="str">
        <f>IF(OR(P1037&lt;Outliers!$B$5, P1037&gt;Outliers!$B$6), "outliers", "")</f>
        <v/>
      </c>
    </row>
    <row r="1038" spans="1:18" x14ac:dyDescent="0.25">
      <c r="A1038" t="s">
        <v>3746</v>
      </c>
      <c r="B1038" s="1">
        <v>45443</v>
      </c>
      <c r="C1038">
        <v>2024</v>
      </c>
      <c r="D1038" t="s">
        <v>53</v>
      </c>
      <c r="E1038" t="s">
        <v>3747</v>
      </c>
      <c r="F1038" t="s">
        <v>30</v>
      </c>
      <c r="G1038">
        <v>3</v>
      </c>
      <c r="H1038">
        <v>413.83</v>
      </c>
      <c r="I1038" t="s">
        <v>319</v>
      </c>
      <c r="J1038" t="s">
        <v>67</v>
      </c>
      <c r="K1038" t="s">
        <v>23</v>
      </c>
      <c r="L1038" t="s">
        <v>3748</v>
      </c>
      <c r="M1038">
        <v>8</v>
      </c>
      <c r="N1038" t="s">
        <v>25</v>
      </c>
      <c r="O1038" t="s">
        <v>51</v>
      </c>
      <c r="P1038">
        <v>1241.49</v>
      </c>
      <c r="Q1038">
        <v>1241.49</v>
      </c>
      <c r="R1038" t="str">
        <f>IF(OR(P1038&lt;Outliers!$B$5, P1038&gt;Outliers!$B$6), "outliers", "")</f>
        <v/>
      </c>
    </row>
    <row r="1039" spans="1:18" x14ac:dyDescent="0.25">
      <c r="A1039" t="s">
        <v>3749</v>
      </c>
      <c r="B1039" s="1">
        <v>45273</v>
      </c>
      <c r="C1039">
        <v>2023</v>
      </c>
      <c r="D1039" t="s">
        <v>45</v>
      </c>
      <c r="E1039" t="s">
        <v>3750</v>
      </c>
      <c r="F1039" t="s">
        <v>55</v>
      </c>
      <c r="G1039">
        <v>1</v>
      </c>
      <c r="H1039">
        <v>249.81</v>
      </c>
      <c r="I1039" t="s">
        <v>2572</v>
      </c>
      <c r="J1039" t="s">
        <v>72</v>
      </c>
      <c r="K1039" t="s">
        <v>96</v>
      </c>
      <c r="L1039" t="s">
        <v>3751</v>
      </c>
      <c r="M1039">
        <v>1</v>
      </c>
      <c r="N1039" t="s">
        <v>25</v>
      </c>
      <c r="O1039" t="s">
        <v>83</v>
      </c>
      <c r="P1039">
        <v>249.81</v>
      </c>
      <c r="Q1039">
        <v>249.81</v>
      </c>
      <c r="R1039" t="str">
        <f>IF(OR(P1039&lt;Outliers!$B$5, P1039&gt;Outliers!$B$6), "outliers", "")</f>
        <v/>
      </c>
    </row>
    <row r="1040" spans="1:18" x14ac:dyDescent="0.25">
      <c r="A1040" t="s">
        <v>3752</v>
      </c>
      <c r="B1040" s="1">
        <v>45731</v>
      </c>
      <c r="C1040">
        <v>2025</v>
      </c>
      <c r="D1040" t="s">
        <v>18</v>
      </c>
      <c r="E1040" t="s">
        <v>3753</v>
      </c>
      <c r="F1040" t="s">
        <v>37</v>
      </c>
      <c r="G1040">
        <v>3</v>
      </c>
      <c r="H1040">
        <v>362.53</v>
      </c>
      <c r="I1040" t="s">
        <v>3754</v>
      </c>
      <c r="J1040" t="s">
        <v>22</v>
      </c>
      <c r="K1040" t="s">
        <v>49</v>
      </c>
      <c r="L1040" t="s">
        <v>3755</v>
      </c>
      <c r="M1040">
        <v>5</v>
      </c>
      <c r="O1040" t="s">
        <v>51</v>
      </c>
      <c r="P1040">
        <v>1087.5899999999999</v>
      </c>
      <c r="Q1040">
        <v>1087.5899999999999</v>
      </c>
      <c r="R1040" t="str">
        <f>IF(OR(P1040&lt;Outliers!$B$5, P1040&gt;Outliers!$B$6), "outliers", "")</f>
        <v/>
      </c>
    </row>
    <row r="1041" spans="1:18" x14ac:dyDescent="0.25">
      <c r="A1041" t="s">
        <v>3756</v>
      </c>
      <c r="B1041" s="1">
        <v>45836</v>
      </c>
      <c r="C1041">
        <v>2025</v>
      </c>
      <c r="D1041" t="s">
        <v>53</v>
      </c>
      <c r="E1041" t="s">
        <v>3757</v>
      </c>
      <c r="F1041" t="s">
        <v>80</v>
      </c>
      <c r="G1041">
        <v>2</v>
      </c>
      <c r="H1041">
        <v>299.23</v>
      </c>
      <c r="I1041" t="s">
        <v>3758</v>
      </c>
      <c r="J1041" t="s">
        <v>39</v>
      </c>
      <c r="K1041" t="s">
        <v>40</v>
      </c>
      <c r="L1041" t="s">
        <v>3759</v>
      </c>
      <c r="M1041">
        <v>2</v>
      </c>
      <c r="N1041" t="s">
        <v>88</v>
      </c>
      <c r="O1041" t="s">
        <v>26</v>
      </c>
      <c r="P1041">
        <v>598.46</v>
      </c>
      <c r="Q1041">
        <v>598.46</v>
      </c>
      <c r="R1041" t="str">
        <f>IF(OR(P1041&lt;Outliers!$B$5, P1041&gt;Outliers!$B$6), "outliers", "")</f>
        <v/>
      </c>
    </row>
    <row r="1042" spans="1:18" x14ac:dyDescent="0.25">
      <c r="A1042" t="s">
        <v>3760</v>
      </c>
      <c r="B1042" s="1">
        <v>45245</v>
      </c>
      <c r="C1042">
        <v>2023</v>
      </c>
      <c r="D1042" t="s">
        <v>45</v>
      </c>
      <c r="E1042" t="s">
        <v>3761</v>
      </c>
      <c r="F1042" t="s">
        <v>37</v>
      </c>
      <c r="G1042">
        <v>1</v>
      </c>
      <c r="H1042">
        <v>536.07000000000005</v>
      </c>
      <c r="I1042" t="s">
        <v>2123</v>
      </c>
      <c r="J1042" t="s">
        <v>22</v>
      </c>
      <c r="K1042" t="s">
        <v>57</v>
      </c>
      <c r="L1042" t="s">
        <v>3762</v>
      </c>
      <c r="M1042">
        <v>5</v>
      </c>
      <c r="N1042" t="s">
        <v>42</v>
      </c>
      <c r="O1042" t="s">
        <v>83</v>
      </c>
      <c r="P1042">
        <v>536.07000000000005</v>
      </c>
      <c r="Q1042">
        <v>536.07000000000005</v>
      </c>
      <c r="R1042" t="str">
        <f>IF(OR(P1042&lt;Outliers!$B$5, P1042&gt;Outliers!$B$6), "outliers", "")</f>
        <v/>
      </c>
    </row>
    <row r="1043" spans="1:18" x14ac:dyDescent="0.25">
      <c r="A1043" t="s">
        <v>3763</v>
      </c>
      <c r="B1043" s="1">
        <v>44968</v>
      </c>
      <c r="C1043">
        <v>2023</v>
      </c>
      <c r="D1043" t="s">
        <v>18</v>
      </c>
      <c r="E1043" t="s">
        <v>3764</v>
      </c>
      <c r="F1043" t="s">
        <v>20</v>
      </c>
      <c r="G1043">
        <v>4</v>
      </c>
      <c r="H1043">
        <v>558.9</v>
      </c>
      <c r="I1043" t="s">
        <v>936</v>
      </c>
      <c r="J1043" t="s">
        <v>67</v>
      </c>
      <c r="K1043" t="s">
        <v>23</v>
      </c>
      <c r="L1043" t="s">
        <v>3765</v>
      </c>
      <c r="M1043">
        <v>9</v>
      </c>
      <c r="N1043" t="s">
        <v>88</v>
      </c>
      <c r="O1043" t="s">
        <v>83</v>
      </c>
      <c r="P1043">
        <v>2235.6</v>
      </c>
      <c r="Q1043">
        <v>2235.6</v>
      </c>
      <c r="R1043" t="str">
        <f>IF(OR(P1043&lt;Outliers!$B$5, P1043&gt;Outliers!$B$6), "outliers", "")</f>
        <v/>
      </c>
    </row>
    <row r="1044" spans="1:18" x14ac:dyDescent="0.25">
      <c r="A1044" t="s">
        <v>3766</v>
      </c>
      <c r="B1044" s="1">
        <v>45635</v>
      </c>
      <c r="C1044">
        <v>2024</v>
      </c>
      <c r="D1044" t="s">
        <v>45</v>
      </c>
      <c r="E1044" t="s">
        <v>3767</v>
      </c>
      <c r="F1044" t="s">
        <v>37</v>
      </c>
      <c r="G1044">
        <v>2</v>
      </c>
      <c r="H1044">
        <v>409.75</v>
      </c>
      <c r="I1044" t="s">
        <v>1288</v>
      </c>
      <c r="J1044" t="s">
        <v>22</v>
      </c>
      <c r="K1044" t="s">
        <v>23</v>
      </c>
      <c r="L1044" t="s">
        <v>3768</v>
      </c>
      <c r="M1044">
        <v>2</v>
      </c>
      <c r="N1044" t="s">
        <v>88</v>
      </c>
      <c r="O1044" t="s">
        <v>51</v>
      </c>
      <c r="P1044">
        <v>819.5</v>
      </c>
      <c r="Q1044">
        <v>819.5</v>
      </c>
      <c r="R1044" t="str">
        <f>IF(OR(P1044&lt;Outliers!$B$5, P1044&gt;Outliers!$B$6), "outliers", "")</f>
        <v/>
      </c>
    </row>
    <row r="1045" spans="1:18" x14ac:dyDescent="0.25">
      <c r="A1045" t="s">
        <v>3769</v>
      </c>
      <c r="B1045" s="1">
        <v>45668</v>
      </c>
      <c r="C1045">
        <v>2025</v>
      </c>
      <c r="D1045" t="s">
        <v>18</v>
      </c>
      <c r="E1045" t="s">
        <v>3770</v>
      </c>
      <c r="F1045" t="s">
        <v>37</v>
      </c>
      <c r="G1045">
        <v>2</v>
      </c>
      <c r="H1045">
        <v>179.96</v>
      </c>
      <c r="I1045" t="s">
        <v>3529</v>
      </c>
      <c r="J1045" t="s">
        <v>67</v>
      </c>
      <c r="K1045" t="s">
        <v>23</v>
      </c>
      <c r="L1045" t="s">
        <v>3771</v>
      </c>
      <c r="M1045">
        <v>5</v>
      </c>
      <c r="O1045" t="s">
        <v>26</v>
      </c>
      <c r="P1045">
        <v>359.92</v>
      </c>
      <c r="Q1045">
        <v>359.92</v>
      </c>
      <c r="R1045" t="str">
        <f>IF(OR(P1045&lt;Outliers!$B$5, P1045&gt;Outliers!$B$6), "outliers", "")</f>
        <v/>
      </c>
    </row>
    <row r="1046" spans="1:18" x14ac:dyDescent="0.25">
      <c r="A1046" t="s">
        <v>3772</v>
      </c>
      <c r="B1046" s="1">
        <v>45830</v>
      </c>
      <c r="C1046">
        <v>2025</v>
      </c>
      <c r="D1046" t="s">
        <v>53</v>
      </c>
      <c r="E1046" t="s">
        <v>3773</v>
      </c>
      <c r="F1046" t="s">
        <v>55</v>
      </c>
      <c r="G1046">
        <v>1</v>
      </c>
      <c r="H1046">
        <v>38.49</v>
      </c>
      <c r="I1046" t="s">
        <v>3774</v>
      </c>
      <c r="J1046" t="s">
        <v>39</v>
      </c>
      <c r="K1046" t="s">
        <v>57</v>
      </c>
      <c r="L1046" t="s">
        <v>3775</v>
      </c>
      <c r="M1046">
        <v>4</v>
      </c>
      <c r="N1046" t="s">
        <v>42</v>
      </c>
      <c r="O1046" t="s">
        <v>34</v>
      </c>
      <c r="P1046">
        <v>38.49</v>
      </c>
      <c r="Q1046">
        <v>38.49</v>
      </c>
      <c r="R1046" t="str">
        <f>IF(OR(P1046&lt;Outliers!$B$5, P1046&gt;Outliers!$B$6), "outliers", "")</f>
        <v/>
      </c>
    </row>
    <row r="1047" spans="1:18" x14ac:dyDescent="0.25">
      <c r="A1047" t="s">
        <v>3776</v>
      </c>
      <c r="B1047" s="1">
        <v>45555</v>
      </c>
      <c r="C1047">
        <v>2024</v>
      </c>
      <c r="D1047" t="s">
        <v>28</v>
      </c>
      <c r="E1047" t="s">
        <v>3777</v>
      </c>
      <c r="F1047" t="s">
        <v>65</v>
      </c>
      <c r="G1047">
        <v>5</v>
      </c>
      <c r="H1047">
        <v>316.39999999999998</v>
      </c>
      <c r="I1047" t="s">
        <v>3778</v>
      </c>
      <c r="J1047" t="s">
        <v>67</v>
      </c>
      <c r="K1047" t="s">
        <v>49</v>
      </c>
      <c r="L1047" t="s">
        <v>3779</v>
      </c>
      <c r="M1047">
        <v>7</v>
      </c>
      <c r="O1047" t="s">
        <v>43</v>
      </c>
      <c r="P1047">
        <v>1582</v>
      </c>
      <c r="Q1047">
        <v>1582</v>
      </c>
      <c r="R1047" t="str">
        <f>IF(OR(P1047&lt;Outliers!$B$5, P1047&gt;Outliers!$B$6), "outliers", "")</f>
        <v/>
      </c>
    </row>
    <row r="1048" spans="1:18" x14ac:dyDescent="0.25">
      <c r="A1048" t="s">
        <v>3780</v>
      </c>
      <c r="B1048" s="1">
        <v>45572</v>
      </c>
      <c r="C1048">
        <v>2024</v>
      </c>
      <c r="D1048" t="s">
        <v>45</v>
      </c>
      <c r="E1048" t="s">
        <v>3781</v>
      </c>
      <c r="F1048" t="s">
        <v>37</v>
      </c>
      <c r="G1048">
        <v>3</v>
      </c>
      <c r="H1048">
        <v>547.15</v>
      </c>
      <c r="I1048" t="s">
        <v>3782</v>
      </c>
      <c r="J1048" t="s">
        <v>32</v>
      </c>
      <c r="K1048" t="s">
        <v>23</v>
      </c>
      <c r="L1048" t="s">
        <v>3783</v>
      </c>
      <c r="M1048">
        <v>4</v>
      </c>
      <c r="N1048" t="s">
        <v>88</v>
      </c>
      <c r="O1048" t="s">
        <v>26</v>
      </c>
      <c r="P1048">
        <v>1641.45</v>
      </c>
      <c r="Q1048">
        <v>1641.45</v>
      </c>
      <c r="R1048" t="str">
        <f>IF(OR(P1048&lt;Outliers!$B$5, P1048&gt;Outliers!$B$6), "outliers", "")</f>
        <v/>
      </c>
    </row>
    <row r="1049" spans="1:18" x14ac:dyDescent="0.25">
      <c r="A1049" t="s">
        <v>3784</v>
      </c>
      <c r="B1049" s="1">
        <v>45100</v>
      </c>
      <c r="C1049">
        <v>2023</v>
      </c>
      <c r="D1049" t="s">
        <v>53</v>
      </c>
      <c r="E1049" t="s">
        <v>3785</v>
      </c>
      <c r="F1049" t="s">
        <v>47</v>
      </c>
      <c r="G1049">
        <v>4</v>
      </c>
      <c r="H1049">
        <v>540.34</v>
      </c>
      <c r="I1049" t="s">
        <v>3786</v>
      </c>
      <c r="J1049" t="s">
        <v>67</v>
      </c>
      <c r="K1049" t="s">
        <v>23</v>
      </c>
      <c r="L1049" t="s">
        <v>3787</v>
      </c>
      <c r="M1049">
        <v>6</v>
      </c>
      <c r="N1049" t="s">
        <v>88</v>
      </c>
      <c r="O1049" t="s">
        <v>34</v>
      </c>
      <c r="P1049">
        <v>2161.36</v>
      </c>
      <c r="Q1049">
        <v>2161.36</v>
      </c>
      <c r="R1049" t="str">
        <f>IF(OR(P1049&lt;Outliers!$B$5, P1049&gt;Outliers!$B$6), "outliers", "")</f>
        <v/>
      </c>
    </row>
    <row r="1050" spans="1:18" x14ac:dyDescent="0.25">
      <c r="A1050" t="s">
        <v>3788</v>
      </c>
      <c r="B1050" s="1">
        <v>45544</v>
      </c>
      <c r="C1050">
        <v>2024</v>
      </c>
      <c r="D1050" t="s">
        <v>28</v>
      </c>
      <c r="E1050" t="s">
        <v>3789</v>
      </c>
      <c r="F1050" t="s">
        <v>20</v>
      </c>
      <c r="G1050">
        <v>4</v>
      </c>
      <c r="H1050">
        <v>73.650000000000006</v>
      </c>
      <c r="I1050" t="s">
        <v>3790</v>
      </c>
      <c r="J1050" t="s">
        <v>22</v>
      </c>
      <c r="K1050" t="s">
        <v>23</v>
      </c>
      <c r="L1050" t="s">
        <v>3791</v>
      </c>
      <c r="M1050">
        <v>9</v>
      </c>
      <c r="O1050" t="s">
        <v>83</v>
      </c>
      <c r="P1050">
        <v>294.60000000000002</v>
      </c>
      <c r="Q1050">
        <v>294.60000000000002</v>
      </c>
      <c r="R1050" t="str">
        <f>IF(OR(P1050&lt;Outliers!$B$5, P1050&gt;Outliers!$B$6), "outliers", "")</f>
        <v/>
      </c>
    </row>
    <row r="1051" spans="1:18" x14ac:dyDescent="0.25">
      <c r="A1051" t="s">
        <v>3792</v>
      </c>
      <c r="B1051" s="1">
        <v>45491</v>
      </c>
      <c r="C1051">
        <v>2024</v>
      </c>
      <c r="D1051" t="s">
        <v>28</v>
      </c>
      <c r="E1051" t="s">
        <v>3793</v>
      </c>
      <c r="F1051" t="s">
        <v>80</v>
      </c>
      <c r="G1051">
        <v>5</v>
      </c>
      <c r="H1051">
        <v>391.86</v>
      </c>
      <c r="I1051" t="s">
        <v>128</v>
      </c>
      <c r="J1051" t="s">
        <v>39</v>
      </c>
      <c r="K1051" t="s">
        <v>23</v>
      </c>
      <c r="L1051" t="s">
        <v>3794</v>
      </c>
      <c r="M1051">
        <v>6</v>
      </c>
      <c r="O1051" t="s">
        <v>26</v>
      </c>
      <c r="P1051">
        <v>1959.3</v>
      </c>
      <c r="Q1051">
        <v>1959.3</v>
      </c>
      <c r="R1051" t="str">
        <f>IF(OR(P1051&lt;Outliers!$B$5, P1051&gt;Outliers!$B$6), "outliers", "")</f>
        <v/>
      </c>
    </row>
    <row r="1052" spans="1:18" x14ac:dyDescent="0.25">
      <c r="A1052" t="s">
        <v>3795</v>
      </c>
      <c r="B1052" s="1">
        <v>45158</v>
      </c>
      <c r="C1052">
        <v>2023</v>
      </c>
      <c r="D1052" t="s">
        <v>28</v>
      </c>
      <c r="E1052" t="s">
        <v>3796</v>
      </c>
      <c r="F1052" t="s">
        <v>65</v>
      </c>
      <c r="G1052">
        <v>5</v>
      </c>
      <c r="H1052">
        <v>69.7</v>
      </c>
      <c r="I1052" t="s">
        <v>2036</v>
      </c>
      <c r="J1052" t="s">
        <v>32</v>
      </c>
      <c r="K1052" t="s">
        <v>49</v>
      </c>
      <c r="L1052" t="s">
        <v>3797</v>
      </c>
      <c r="M1052">
        <v>9</v>
      </c>
      <c r="O1052" t="s">
        <v>26</v>
      </c>
      <c r="P1052">
        <v>348.5</v>
      </c>
      <c r="Q1052">
        <v>348.5</v>
      </c>
      <c r="R1052" t="str">
        <f>IF(OR(P1052&lt;Outliers!$B$5, P1052&gt;Outliers!$B$6), "outliers", "")</f>
        <v/>
      </c>
    </row>
    <row r="1053" spans="1:18" x14ac:dyDescent="0.25">
      <c r="A1053" t="s">
        <v>3798</v>
      </c>
      <c r="B1053" s="1">
        <v>45721</v>
      </c>
      <c r="C1053">
        <v>2025</v>
      </c>
      <c r="D1053" t="s">
        <v>18</v>
      </c>
      <c r="E1053" t="s">
        <v>3799</v>
      </c>
      <c r="F1053" t="s">
        <v>20</v>
      </c>
      <c r="G1053">
        <v>5</v>
      </c>
      <c r="H1053">
        <v>26.43</v>
      </c>
      <c r="I1053" t="s">
        <v>3800</v>
      </c>
      <c r="J1053" t="s">
        <v>67</v>
      </c>
      <c r="K1053" t="s">
        <v>23</v>
      </c>
      <c r="L1053" t="s">
        <v>3801</v>
      </c>
      <c r="M1053">
        <v>5</v>
      </c>
      <c r="N1053" t="s">
        <v>42</v>
      </c>
      <c r="O1053" t="s">
        <v>51</v>
      </c>
      <c r="P1053">
        <v>132.15</v>
      </c>
      <c r="Q1053">
        <v>132.15</v>
      </c>
      <c r="R1053" t="str">
        <f>IF(OR(P1053&lt;Outliers!$B$5, P1053&gt;Outliers!$B$6), "outliers", "")</f>
        <v/>
      </c>
    </row>
    <row r="1054" spans="1:18" x14ac:dyDescent="0.25">
      <c r="A1054" t="s">
        <v>3802</v>
      </c>
      <c r="B1054" s="1">
        <v>45180</v>
      </c>
      <c r="C1054">
        <v>2023</v>
      </c>
      <c r="D1054" t="s">
        <v>28</v>
      </c>
      <c r="E1054" t="s">
        <v>3803</v>
      </c>
      <c r="F1054" t="s">
        <v>37</v>
      </c>
      <c r="G1054">
        <v>1</v>
      </c>
      <c r="H1054">
        <v>531.74</v>
      </c>
      <c r="I1054" t="s">
        <v>3804</v>
      </c>
      <c r="J1054" t="s">
        <v>32</v>
      </c>
      <c r="K1054" t="s">
        <v>23</v>
      </c>
      <c r="L1054" t="s">
        <v>3805</v>
      </c>
      <c r="M1054">
        <v>1</v>
      </c>
      <c r="N1054" t="s">
        <v>88</v>
      </c>
      <c r="O1054" t="s">
        <v>83</v>
      </c>
      <c r="P1054">
        <v>531.74</v>
      </c>
      <c r="Q1054">
        <v>531.74</v>
      </c>
      <c r="R1054" t="str">
        <f>IF(OR(P1054&lt;Outliers!$B$5, P1054&gt;Outliers!$B$6), "outliers", "")</f>
        <v/>
      </c>
    </row>
    <row r="1055" spans="1:18" x14ac:dyDescent="0.25">
      <c r="A1055" t="s">
        <v>3806</v>
      </c>
      <c r="B1055" s="1">
        <v>45550</v>
      </c>
      <c r="C1055">
        <v>2024</v>
      </c>
      <c r="D1055" t="s">
        <v>28</v>
      </c>
      <c r="E1055" t="s">
        <v>3807</v>
      </c>
      <c r="F1055" t="s">
        <v>30</v>
      </c>
      <c r="G1055">
        <v>2</v>
      </c>
      <c r="H1055">
        <v>496.62</v>
      </c>
      <c r="I1055" t="s">
        <v>3438</v>
      </c>
      <c r="J1055" t="s">
        <v>32</v>
      </c>
      <c r="K1055" t="s">
        <v>96</v>
      </c>
      <c r="L1055" t="s">
        <v>3808</v>
      </c>
      <c r="M1055">
        <v>2</v>
      </c>
      <c r="N1055" t="s">
        <v>25</v>
      </c>
      <c r="O1055" t="s">
        <v>26</v>
      </c>
      <c r="P1055">
        <v>993.24</v>
      </c>
      <c r="Q1055">
        <v>993.24</v>
      </c>
      <c r="R1055" t="str">
        <f>IF(OR(P1055&lt;Outliers!$B$5, P1055&gt;Outliers!$B$6), "outliers", "")</f>
        <v/>
      </c>
    </row>
    <row r="1056" spans="1:18" x14ac:dyDescent="0.25">
      <c r="A1056" t="s">
        <v>3809</v>
      </c>
      <c r="B1056" s="1">
        <v>45259</v>
      </c>
      <c r="C1056">
        <v>2023</v>
      </c>
      <c r="D1056" t="s">
        <v>45</v>
      </c>
      <c r="E1056" t="s">
        <v>3810</v>
      </c>
      <c r="F1056" t="s">
        <v>55</v>
      </c>
      <c r="G1056">
        <v>1</v>
      </c>
      <c r="H1056">
        <v>660.66</v>
      </c>
      <c r="I1056" t="s">
        <v>386</v>
      </c>
      <c r="J1056" t="s">
        <v>22</v>
      </c>
      <c r="K1056" t="s">
        <v>57</v>
      </c>
      <c r="L1056" t="s">
        <v>3811</v>
      </c>
      <c r="M1056">
        <v>3</v>
      </c>
      <c r="N1056" t="s">
        <v>88</v>
      </c>
      <c r="O1056" t="s">
        <v>26</v>
      </c>
      <c r="P1056">
        <v>660.66</v>
      </c>
      <c r="Q1056">
        <v>660.66</v>
      </c>
      <c r="R1056" t="str">
        <f>IF(OR(P1056&lt;Outliers!$B$5, P1056&gt;Outliers!$B$6), "outliers", "")</f>
        <v/>
      </c>
    </row>
    <row r="1057" spans="1:18" x14ac:dyDescent="0.25">
      <c r="A1057" t="s">
        <v>3812</v>
      </c>
      <c r="B1057" s="1">
        <v>45222</v>
      </c>
      <c r="C1057">
        <v>2023</v>
      </c>
      <c r="D1057" t="s">
        <v>45</v>
      </c>
      <c r="E1057" t="s">
        <v>3813</v>
      </c>
      <c r="F1057" t="s">
        <v>20</v>
      </c>
      <c r="G1057">
        <v>4</v>
      </c>
      <c r="H1057">
        <v>274.82</v>
      </c>
      <c r="I1057" t="s">
        <v>2123</v>
      </c>
      <c r="J1057" t="s">
        <v>22</v>
      </c>
      <c r="K1057" t="s">
        <v>57</v>
      </c>
      <c r="L1057" t="s">
        <v>3814</v>
      </c>
      <c r="M1057">
        <v>9</v>
      </c>
      <c r="N1057" t="s">
        <v>88</v>
      </c>
      <c r="O1057" t="s">
        <v>43</v>
      </c>
      <c r="P1057">
        <v>1099.28</v>
      </c>
      <c r="Q1057">
        <v>1099.28</v>
      </c>
      <c r="R1057" t="str">
        <f>IF(OR(P1057&lt;Outliers!$B$5, P1057&gt;Outliers!$B$6), "outliers", "")</f>
        <v/>
      </c>
    </row>
    <row r="1058" spans="1:18" x14ac:dyDescent="0.25">
      <c r="A1058" t="s">
        <v>3815</v>
      </c>
      <c r="B1058" s="1">
        <v>45457</v>
      </c>
      <c r="C1058">
        <v>2024</v>
      </c>
      <c r="D1058" t="s">
        <v>53</v>
      </c>
      <c r="E1058" t="s">
        <v>3816</v>
      </c>
      <c r="F1058" t="s">
        <v>30</v>
      </c>
      <c r="G1058">
        <v>2</v>
      </c>
      <c r="H1058">
        <v>486.35</v>
      </c>
      <c r="I1058" t="s">
        <v>726</v>
      </c>
      <c r="J1058" t="s">
        <v>32</v>
      </c>
      <c r="K1058" t="s">
        <v>96</v>
      </c>
      <c r="L1058" t="s">
        <v>3817</v>
      </c>
      <c r="M1058">
        <v>6</v>
      </c>
      <c r="N1058" t="s">
        <v>25</v>
      </c>
      <c r="O1058" t="s">
        <v>34</v>
      </c>
      <c r="P1058">
        <v>972.7</v>
      </c>
      <c r="Q1058">
        <v>972.7</v>
      </c>
      <c r="R1058" t="str">
        <f>IF(OR(P1058&lt;Outliers!$B$5, P1058&gt;Outliers!$B$6), "outliers", "")</f>
        <v/>
      </c>
    </row>
    <row r="1059" spans="1:18" x14ac:dyDescent="0.25">
      <c r="A1059" t="s">
        <v>3818</v>
      </c>
      <c r="B1059" s="1">
        <v>45559</v>
      </c>
      <c r="C1059">
        <v>2024</v>
      </c>
      <c r="D1059" t="s">
        <v>28</v>
      </c>
      <c r="E1059" t="s">
        <v>3819</v>
      </c>
      <c r="F1059" t="s">
        <v>65</v>
      </c>
      <c r="G1059">
        <v>3</v>
      </c>
      <c r="H1059">
        <v>428.88</v>
      </c>
      <c r="I1059" t="s">
        <v>711</v>
      </c>
      <c r="J1059" t="s">
        <v>22</v>
      </c>
      <c r="K1059" t="s">
        <v>23</v>
      </c>
      <c r="L1059" t="s">
        <v>3820</v>
      </c>
      <c r="M1059">
        <v>3</v>
      </c>
      <c r="N1059" t="s">
        <v>88</v>
      </c>
      <c r="O1059" t="s">
        <v>51</v>
      </c>
      <c r="P1059">
        <v>1286.6400000000001</v>
      </c>
      <c r="Q1059">
        <v>1286.6400000000001</v>
      </c>
      <c r="R1059" t="str">
        <f>IF(OR(P1059&lt;Outliers!$B$5, P1059&gt;Outliers!$B$6), "outliers", "")</f>
        <v/>
      </c>
    </row>
    <row r="1060" spans="1:18" x14ac:dyDescent="0.25">
      <c r="A1060" t="s">
        <v>3821</v>
      </c>
      <c r="B1060" s="1">
        <v>45177</v>
      </c>
      <c r="C1060">
        <v>2023</v>
      </c>
      <c r="D1060" t="s">
        <v>28</v>
      </c>
      <c r="E1060" t="s">
        <v>3822</v>
      </c>
      <c r="F1060" t="s">
        <v>80</v>
      </c>
      <c r="G1060">
        <v>2</v>
      </c>
      <c r="H1060">
        <v>412.14</v>
      </c>
      <c r="I1060" t="s">
        <v>1088</v>
      </c>
      <c r="J1060" t="s">
        <v>39</v>
      </c>
      <c r="K1060" t="s">
        <v>49</v>
      </c>
      <c r="L1060" t="s">
        <v>3823</v>
      </c>
      <c r="M1060">
        <v>2</v>
      </c>
      <c r="N1060" t="s">
        <v>42</v>
      </c>
      <c r="O1060" t="s">
        <v>26</v>
      </c>
      <c r="P1060">
        <v>824.28</v>
      </c>
      <c r="Q1060">
        <v>824.28</v>
      </c>
      <c r="R1060" t="str">
        <f>IF(OR(P1060&lt;Outliers!$B$5, P1060&gt;Outliers!$B$6), "outliers", "")</f>
        <v/>
      </c>
    </row>
    <row r="1061" spans="1:18" x14ac:dyDescent="0.25">
      <c r="A1061" t="s">
        <v>3824</v>
      </c>
      <c r="B1061" s="1">
        <v>45557</v>
      </c>
      <c r="C1061">
        <v>2024</v>
      </c>
      <c r="D1061" t="s">
        <v>28</v>
      </c>
      <c r="E1061" t="s">
        <v>3825</v>
      </c>
      <c r="F1061" t="s">
        <v>80</v>
      </c>
      <c r="G1061">
        <v>1</v>
      </c>
      <c r="H1061">
        <v>265.64</v>
      </c>
      <c r="I1061" t="s">
        <v>3826</v>
      </c>
      <c r="J1061" t="s">
        <v>39</v>
      </c>
      <c r="K1061" t="s">
        <v>49</v>
      </c>
      <c r="L1061" t="s">
        <v>3827</v>
      </c>
      <c r="M1061">
        <v>3</v>
      </c>
      <c r="N1061" t="s">
        <v>88</v>
      </c>
      <c r="O1061" t="s">
        <v>26</v>
      </c>
      <c r="P1061">
        <v>265.64</v>
      </c>
      <c r="Q1061">
        <v>265.64</v>
      </c>
      <c r="R1061" t="str">
        <f>IF(OR(P1061&lt;Outliers!$B$5, P1061&gt;Outliers!$B$6), "outliers", "")</f>
        <v/>
      </c>
    </row>
    <row r="1062" spans="1:18" x14ac:dyDescent="0.25">
      <c r="A1062" t="s">
        <v>3828</v>
      </c>
      <c r="B1062" s="1">
        <v>45419</v>
      </c>
      <c r="C1062">
        <v>2024</v>
      </c>
      <c r="D1062" t="s">
        <v>53</v>
      </c>
      <c r="E1062" t="s">
        <v>3829</v>
      </c>
      <c r="F1062" t="s">
        <v>37</v>
      </c>
      <c r="G1062">
        <v>2</v>
      </c>
      <c r="H1062">
        <v>273.43</v>
      </c>
      <c r="I1062" t="s">
        <v>1387</v>
      </c>
      <c r="J1062" t="s">
        <v>72</v>
      </c>
      <c r="K1062" t="s">
        <v>23</v>
      </c>
      <c r="L1062" t="s">
        <v>3830</v>
      </c>
      <c r="M1062">
        <v>7</v>
      </c>
      <c r="N1062" t="s">
        <v>88</v>
      </c>
      <c r="O1062" t="s">
        <v>34</v>
      </c>
      <c r="P1062">
        <v>546.86</v>
      </c>
      <c r="Q1062">
        <v>546.86</v>
      </c>
      <c r="R1062" t="str">
        <f>IF(OR(P1062&lt;Outliers!$B$5, P1062&gt;Outliers!$B$6), "outliers", "")</f>
        <v/>
      </c>
    </row>
    <row r="1063" spans="1:18" x14ac:dyDescent="0.25">
      <c r="A1063" t="s">
        <v>3831</v>
      </c>
      <c r="B1063" s="1">
        <v>45686</v>
      </c>
      <c r="C1063">
        <v>2025</v>
      </c>
      <c r="D1063" t="s">
        <v>18</v>
      </c>
      <c r="E1063" t="s">
        <v>3832</v>
      </c>
      <c r="F1063" t="s">
        <v>65</v>
      </c>
      <c r="G1063">
        <v>5</v>
      </c>
      <c r="H1063">
        <v>131.69999999999999</v>
      </c>
      <c r="I1063" t="s">
        <v>176</v>
      </c>
      <c r="J1063" t="s">
        <v>72</v>
      </c>
      <c r="K1063" t="s">
        <v>23</v>
      </c>
      <c r="L1063" t="s">
        <v>3833</v>
      </c>
      <c r="M1063">
        <v>8</v>
      </c>
      <c r="N1063" t="s">
        <v>42</v>
      </c>
      <c r="O1063" t="s">
        <v>83</v>
      </c>
      <c r="P1063">
        <v>658.5</v>
      </c>
      <c r="Q1063">
        <v>658.5</v>
      </c>
      <c r="R1063" t="str">
        <f>IF(OR(P1063&lt;Outliers!$B$5, P1063&gt;Outliers!$B$6), "outliers", "")</f>
        <v/>
      </c>
    </row>
    <row r="1064" spans="1:18" x14ac:dyDescent="0.25">
      <c r="A1064" t="s">
        <v>3834</v>
      </c>
      <c r="B1064" s="1">
        <v>45161</v>
      </c>
      <c r="C1064">
        <v>2023</v>
      </c>
      <c r="D1064" t="s">
        <v>28</v>
      </c>
      <c r="E1064" t="s">
        <v>3835</v>
      </c>
      <c r="F1064" t="s">
        <v>47</v>
      </c>
      <c r="G1064">
        <v>5</v>
      </c>
      <c r="H1064">
        <v>85.52</v>
      </c>
      <c r="I1064" t="s">
        <v>1259</v>
      </c>
      <c r="J1064" t="s">
        <v>67</v>
      </c>
      <c r="K1064" t="s">
        <v>40</v>
      </c>
      <c r="L1064" t="s">
        <v>3836</v>
      </c>
      <c r="M1064">
        <v>5</v>
      </c>
      <c r="O1064" t="s">
        <v>51</v>
      </c>
      <c r="P1064">
        <v>427.6</v>
      </c>
      <c r="Q1064">
        <v>427.6</v>
      </c>
      <c r="R1064" t="str">
        <f>IF(OR(P1064&lt;Outliers!$B$5, P1064&gt;Outliers!$B$6), "outliers", "")</f>
        <v/>
      </c>
    </row>
    <row r="1065" spans="1:18" x14ac:dyDescent="0.25">
      <c r="A1065" t="s">
        <v>3837</v>
      </c>
      <c r="B1065" s="1">
        <v>45462</v>
      </c>
      <c r="C1065">
        <v>2024</v>
      </c>
      <c r="D1065" t="s">
        <v>53</v>
      </c>
      <c r="E1065" t="s">
        <v>3838</v>
      </c>
      <c r="F1065" t="s">
        <v>80</v>
      </c>
      <c r="G1065">
        <v>2</v>
      </c>
      <c r="H1065">
        <v>320.68</v>
      </c>
      <c r="I1065" t="s">
        <v>715</v>
      </c>
      <c r="J1065" t="s">
        <v>39</v>
      </c>
      <c r="K1065" t="s">
        <v>23</v>
      </c>
      <c r="L1065" t="s">
        <v>3839</v>
      </c>
      <c r="M1065">
        <v>5</v>
      </c>
      <c r="N1065" t="s">
        <v>42</v>
      </c>
      <c r="O1065" t="s">
        <v>34</v>
      </c>
      <c r="P1065">
        <v>641.36</v>
      </c>
      <c r="Q1065">
        <v>641.36</v>
      </c>
      <c r="R1065" t="str">
        <f>IF(OR(P1065&lt;Outliers!$B$5, P1065&gt;Outliers!$B$6), "outliers", "")</f>
        <v/>
      </c>
    </row>
    <row r="1066" spans="1:18" x14ac:dyDescent="0.25">
      <c r="A1066" t="s">
        <v>3840</v>
      </c>
      <c r="B1066" s="1">
        <v>45700</v>
      </c>
      <c r="C1066">
        <v>2025</v>
      </c>
      <c r="D1066" t="s">
        <v>18</v>
      </c>
      <c r="E1066" t="s">
        <v>3841</v>
      </c>
      <c r="F1066" t="s">
        <v>65</v>
      </c>
      <c r="G1066">
        <v>4</v>
      </c>
      <c r="H1066">
        <v>198.81</v>
      </c>
      <c r="I1066" t="s">
        <v>1112</v>
      </c>
      <c r="J1066" t="s">
        <v>72</v>
      </c>
      <c r="K1066" t="s">
        <v>49</v>
      </c>
      <c r="L1066" t="s">
        <v>3842</v>
      </c>
      <c r="M1066">
        <v>9</v>
      </c>
      <c r="N1066" t="s">
        <v>42</v>
      </c>
      <c r="O1066" t="s">
        <v>34</v>
      </c>
      <c r="P1066">
        <v>795.24</v>
      </c>
      <c r="Q1066">
        <v>795.24</v>
      </c>
      <c r="R1066" t="str">
        <f>IF(OR(P1066&lt;Outliers!$B$5, P1066&gt;Outliers!$B$6), "outliers", "")</f>
        <v/>
      </c>
    </row>
    <row r="1067" spans="1:18" x14ac:dyDescent="0.25">
      <c r="A1067" t="s">
        <v>3843</v>
      </c>
      <c r="B1067" s="1">
        <v>45229</v>
      </c>
      <c r="C1067">
        <v>2023</v>
      </c>
      <c r="D1067" t="s">
        <v>45</v>
      </c>
      <c r="E1067" t="s">
        <v>3844</v>
      </c>
      <c r="F1067" t="s">
        <v>55</v>
      </c>
      <c r="G1067">
        <v>5</v>
      </c>
      <c r="H1067">
        <v>666.8</v>
      </c>
      <c r="I1067" t="s">
        <v>1659</v>
      </c>
      <c r="J1067" t="s">
        <v>22</v>
      </c>
      <c r="K1067" t="s">
        <v>57</v>
      </c>
      <c r="L1067" t="s">
        <v>3845</v>
      </c>
      <c r="M1067">
        <v>7</v>
      </c>
      <c r="N1067" t="s">
        <v>25</v>
      </c>
      <c r="O1067" t="s">
        <v>34</v>
      </c>
      <c r="P1067">
        <v>3334</v>
      </c>
      <c r="Q1067">
        <v>3334</v>
      </c>
      <c r="R1067" t="str">
        <f>IF(OR(P1067&lt;Outliers!$B$5, P1067&gt;Outliers!$B$6), "outliers", "")</f>
        <v>outliers</v>
      </c>
    </row>
    <row r="1068" spans="1:18" x14ac:dyDescent="0.25">
      <c r="A1068" t="s">
        <v>3846</v>
      </c>
      <c r="B1068" s="1">
        <v>45280</v>
      </c>
      <c r="C1068">
        <v>2023</v>
      </c>
      <c r="D1068" t="s">
        <v>45</v>
      </c>
      <c r="E1068" t="s">
        <v>3847</v>
      </c>
      <c r="F1068" t="s">
        <v>80</v>
      </c>
      <c r="G1068">
        <v>1</v>
      </c>
      <c r="H1068">
        <v>355.09</v>
      </c>
      <c r="I1068" t="s">
        <v>2593</v>
      </c>
      <c r="J1068" t="s">
        <v>22</v>
      </c>
      <c r="K1068" t="s">
        <v>40</v>
      </c>
      <c r="L1068" t="s">
        <v>3848</v>
      </c>
      <c r="M1068">
        <v>5</v>
      </c>
      <c r="N1068" t="s">
        <v>25</v>
      </c>
      <c r="O1068" t="s">
        <v>26</v>
      </c>
      <c r="P1068">
        <v>355.09</v>
      </c>
      <c r="Q1068">
        <v>355.09</v>
      </c>
      <c r="R1068" t="str">
        <f>IF(OR(P1068&lt;Outliers!$B$5, P1068&gt;Outliers!$B$6), "outliers", "")</f>
        <v/>
      </c>
    </row>
    <row r="1069" spans="1:18" x14ac:dyDescent="0.25">
      <c r="A1069" t="s">
        <v>3849</v>
      </c>
      <c r="B1069" s="1">
        <v>45083</v>
      </c>
      <c r="C1069">
        <v>2023</v>
      </c>
      <c r="D1069" t="s">
        <v>53</v>
      </c>
      <c r="E1069" t="s">
        <v>3850</v>
      </c>
      <c r="F1069" t="s">
        <v>30</v>
      </c>
      <c r="G1069">
        <v>2</v>
      </c>
      <c r="H1069">
        <v>316.2</v>
      </c>
      <c r="I1069" t="s">
        <v>323</v>
      </c>
      <c r="J1069" t="s">
        <v>32</v>
      </c>
      <c r="K1069" t="s">
        <v>49</v>
      </c>
      <c r="L1069" t="s">
        <v>3851</v>
      </c>
      <c r="M1069">
        <v>2</v>
      </c>
      <c r="O1069" t="s">
        <v>26</v>
      </c>
      <c r="P1069">
        <v>632.4</v>
      </c>
      <c r="Q1069">
        <v>632.4</v>
      </c>
      <c r="R1069" t="str">
        <f>IF(OR(P1069&lt;Outliers!$B$5, P1069&gt;Outliers!$B$6), "outliers", "")</f>
        <v/>
      </c>
    </row>
    <row r="1070" spans="1:18" x14ac:dyDescent="0.25">
      <c r="A1070" t="s">
        <v>3852</v>
      </c>
      <c r="B1070" s="1">
        <v>45507</v>
      </c>
      <c r="C1070">
        <v>2024</v>
      </c>
      <c r="D1070" t="s">
        <v>28</v>
      </c>
      <c r="E1070" t="s">
        <v>3853</v>
      </c>
      <c r="F1070" t="s">
        <v>65</v>
      </c>
      <c r="G1070">
        <v>1</v>
      </c>
      <c r="H1070">
        <v>133.38999999999999</v>
      </c>
      <c r="I1070" t="s">
        <v>3854</v>
      </c>
      <c r="J1070" t="s">
        <v>22</v>
      </c>
      <c r="K1070" t="s">
        <v>23</v>
      </c>
      <c r="L1070" t="s">
        <v>3855</v>
      </c>
      <c r="M1070">
        <v>2</v>
      </c>
      <c r="N1070" t="s">
        <v>25</v>
      </c>
      <c r="O1070" t="s">
        <v>34</v>
      </c>
      <c r="P1070">
        <v>133.38999999999999</v>
      </c>
      <c r="Q1070">
        <v>133.38999999999999</v>
      </c>
      <c r="R1070" t="str">
        <f>IF(OR(P1070&lt;Outliers!$B$5, P1070&gt;Outliers!$B$6), "outliers", "")</f>
        <v/>
      </c>
    </row>
    <row r="1071" spans="1:18" x14ac:dyDescent="0.25">
      <c r="A1071" t="s">
        <v>3856</v>
      </c>
      <c r="B1071" s="1">
        <v>44982</v>
      </c>
      <c r="C1071">
        <v>2023</v>
      </c>
      <c r="D1071" t="s">
        <v>18</v>
      </c>
      <c r="E1071" t="s">
        <v>3857</v>
      </c>
      <c r="F1071" t="s">
        <v>20</v>
      </c>
      <c r="G1071">
        <v>1</v>
      </c>
      <c r="H1071">
        <v>454.23</v>
      </c>
      <c r="I1071" t="s">
        <v>975</v>
      </c>
      <c r="J1071" t="s">
        <v>67</v>
      </c>
      <c r="K1071" t="s">
        <v>49</v>
      </c>
      <c r="L1071" t="s">
        <v>3858</v>
      </c>
      <c r="M1071">
        <v>3</v>
      </c>
      <c r="O1071" t="s">
        <v>51</v>
      </c>
      <c r="P1071">
        <v>454.23</v>
      </c>
      <c r="Q1071">
        <v>454.23</v>
      </c>
      <c r="R1071" t="str">
        <f>IF(OR(P1071&lt;Outliers!$B$5, P1071&gt;Outliers!$B$6), "outliers", "")</f>
        <v/>
      </c>
    </row>
    <row r="1072" spans="1:18" x14ac:dyDescent="0.25">
      <c r="A1072" t="s">
        <v>3859</v>
      </c>
      <c r="B1072" s="1">
        <v>45541</v>
      </c>
      <c r="C1072">
        <v>2024</v>
      </c>
      <c r="D1072" t="s">
        <v>28</v>
      </c>
      <c r="E1072" t="s">
        <v>3860</v>
      </c>
      <c r="F1072" t="s">
        <v>80</v>
      </c>
      <c r="G1072">
        <v>4</v>
      </c>
      <c r="H1072">
        <v>491.29</v>
      </c>
      <c r="I1072" t="s">
        <v>366</v>
      </c>
      <c r="J1072" t="s">
        <v>22</v>
      </c>
      <c r="K1072" t="s">
        <v>96</v>
      </c>
      <c r="L1072" t="s">
        <v>3861</v>
      </c>
      <c r="M1072">
        <v>6</v>
      </c>
      <c r="O1072" t="s">
        <v>43</v>
      </c>
      <c r="P1072">
        <v>1965.16</v>
      </c>
      <c r="Q1072">
        <v>1965.16</v>
      </c>
      <c r="R1072" t="str">
        <f>IF(OR(P1072&lt;Outliers!$B$5, P1072&gt;Outliers!$B$6), "outliers", "")</f>
        <v/>
      </c>
    </row>
    <row r="1073" spans="1:18" x14ac:dyDescent="0.25">
      <c r="A1073" t="s">
        <v>3862</v>
      </c>
      <c r="B1073" s="1">
        <v>45832</v>
      </c>
      <c r="C1073">
        <v>2025</v>
      </c>
      <c r="D1073" t="s">
        <v>53</v>
      </c>
      <c r="E1073" t="s">
        <v>3863</v>
      </c>
      <c r="F1073" t="s">
        <v>30</v>
      </c>
      <c r="G1073">
        <v>2</v>
      </c>
      <c r="H1073">
        <v>255.14</v>
      </c>
      <c r="I1073" t="s">
        <v>1462</v>
      </c>
      <c r="J1073" t="s">
        <v>72</v>
      </c>
      <c r="K1073" t="s">
        <v>23</v>
      </c>
      <c r="L1073" t="s">
        <v>3864</v>
      </c>
      <c r="M1073">
        <v>2</v>
      </c>
      <c r="O1073" t="s">
        <v>83</v>
      </c>
      <c r="P1073">
        <v>510.28</v>
      </c>
      <c r="Q1073">
        <v>510.28</v>
      </c>
      <c r="R1073" t="str">
        <f>IF(OR(P1073&lt;Outliers!$B$5, P1073&gt;Outliers!$B$6), "outliers", "")</f>
        <v/>
      </c>
    </row>
    <row r="1074" spans="1:18" x14ac:dyDescent="0.25">
      <c r="A1074" t="s">
        <v>3865</v>
      </c>
      <c r="B1074" s="1">
        <v>44983</v>
      </c>
      <c r="C1074">
        <v>2023</v>
      </c>
      <c r="D1074" t="s">
        <v>18</v>
      </c>
      <c r="E1074" t="s">
        <v>3866</v>
      </c>
      <c r="F1074" t="s">
        <v>20</v>
      </c>
      <c r="G1074">
        <v>1</v>
      </c>
      <c r="H1074">
        <v>392.61</v>
      </c>
      <c r="I1074" t="s">
        <v>1065</v>
      </c>
      <c r="J1074" t="s">
        <v>67</v>
      </c>
      <c r="K1074" t="s">
        <v>40</v>
      </c>
      <c r="L1074" t="s">
        <v>3867</v>
      </c>
      <c r="M1074">
        <v>4</v>
      </c>
      <c r="N1074" t="s">
        <v>25</v>
      </c>
      <c r="O1074" t="s">
        <v>34</v>
      </c>
      <c r="P1074">
        <v>392.61</v>
      </c>
      <c r="Q1074">
        <v>392.61</v>
      </c>
      <c r="R1074" t="str">
        <f>IF(OR(P1074&lt;Outliers!$B$5, P1074&gt;Outliers!$B$6), "outliers", "")</f>
        <v/>
      </c>
    </row>
    <row r="1075" spans="1:18" x14ac:dyDescent="0.25">
      <c r="A1075" t="s">
        <v>3868</v>
      </c>
      <c r="B1075" s="1">
        <v>45576</v>
      </c>
      <c r="C1075">
        <v>2024</v>
      </c>
      <c r="D1075" t="s">
        <v>45</v>
      </c>
      <c r="E1075" t="s">
        <v>3869</v>
      </c>
      <c r="F1075" t="s">
        <v>37</v>
      </c>
      <c r="G1075">
        <v>4</v>
      </c>
      <c r="H1075">
        <v>362.06</v>
      </c>
      <c r="I1075" t="s">
        <v>1043</v>
      </c>
      <c r="J1075" t="s">
        <v>22</v>
      </c>
      <c r="K1075" t="s">
        <v>49</v>
      </c>
      <c r="L1075" t="s">
        <v>3870</v>
      </c>
      <c r="M1075">
        <v>4</v>
      </c>
      <c r="O1075" t="s">
        <v>51</v>
      </c>
      <c r="P1075">
        <v>1448.24</v>
      </c>
      <c r="Q1075">
        <v>1448.24</v>
      </c>
      <c r="R1075" t="str">
        <f>IF(OR(P1075&lt;Outliers!$B$5, P1075&gt;Outliers!$B$6), "outliers", "")</f>
        <v/>
      </c>
    </row>
    <row r="1076" spans="1:18" x14ac:dyDescent="0.25">
      <c r="A1076" t="s">
        <v>3871</v>
      </c>
      <c r="B1076" s="1">
        <v>45422</v>
      </c>
      <c r="C1076">
        <v>2024</v>
      </c>
      <c r="D1076" t="s">
        <v>53</v>
      </c>
      <c r="E1076" t="s">
        <v>3872</v>
      </c>
      <c r="F1076" t="s">
        <v>30</v>
      </c>
      <c r="G1076">
        <v>1</v>
      </c>
      <c r="H1076">
        <v>222.73</v>
      </c>
      <c r="I1076" t="s">
        <v>3873</v>
      </c>
      <c r="J1076" t="s">
        <v>32</v>
      </c>
      <c r="K1076" t="s">
        <v>49</v>
      </c>
      <c r="L1076" t="s">
        <v>3874</v>
      </c>
      <c r="M1076">
        <v>4</v>
      </c>
      <c r="O1076" t="s">
        <v>83</v>
      </c>
      <c r="P1076">
        <v>222.73</v>
      </c>
      <c r="Q1076">
        <v>222.73</v>
      </c>
      <c r="R1076" t="str">
        <f>IF(OR(P1076&lt;Outliers!$B$5, P1076&gt;Outliers!$B$6), "outliers", "")</f>
        <v/>
      </c>
    </row>
    <row r="1077" spans="1:18" x14ac:dyDescent="0.25">
      <c r="A1077" t="s">
        <v>3875</v>
      </c>
      <c r="B1077" s="1">
        <v>45535</v>
      </c>
      <c r="C1077">
        <v>2024</v>
      </c>
      <c r="D1077" t="s">
        <v>28</v>
      </c>
      <c r="E1077" t="s">
        <v>3876</v>
      </c>
      <c r="F1077" t="s">
        <v>20</v>
      </c>
      <c r="G1077">
        <v>2</v>
      </c>
      <c r="H1077">
        <v>552.63</v>
      </c>
      <c r="I1077" t="s">
        <v>844</v>
      </c>
      <c r="J1077" t="s">
        <v>22</v>
      </c>
      <c r="K1077" t="s">
        <v>57</v>
      </c>
      <c r="L1077" t="s">
        <v>3877</v>
      </c>
      <c r="M1077">
        <v>7</v>
      </c>
      <c r="N1077" t="s">
        <v>88</v>
      </c>
      <c r="O1077" t="s">
        <v>26</v>
      </c>
      <c r="P1077">
        <v>1105.26</v>
      </c>
      <c r="Q1077">
        <v>1105.26</v>
      </c>
      <c r="R1077" t="str">
        <f>IF(OR(P1077&lt;Outliers!$B$5, P1077&gt;Outliers!$B$6), "outliers", "")</f>
        <v/>
      </c>
    </row>
    <row r="1078" spans="1:18" x14ac:dyDescent="0.25">
      <c r="A1078" t="s">
        <v>3878</v>
      </c>
      <c r="B1078" s="1">
        <v>45054</v>
      </c>
      <c r="C1078">
        <v>2023</v>
      </c>
      <c r="D1078" t="s">
        <v>53</v>
      </c>
      <c r="E1078" t="s">
        <v>3879</v>
      </c>
      <c r="F1078" t="s">
        <v>65</v>
      </c>
      <c r="G1078">
        <v>4</v>
      </c>
      <c r="H1078">
        <v>686.61</v>
      </c>
      <c r="I1078" t="s">
        <v>3725</v>
      </c>
      <c r="J1078" t="s">
        <v>72</v>
      </c>
      <c r="K1078" t="s">
        <v>23</v>
      </c>
      <c r="L1078" t="s">
        <v>3880</v>
      </c>
      <c r="M1078">
        <v>6</v>
      </c>
      <c r="O1078" t="s">
        <v>34</v>
      </c>
      <c r="P1078">
        <v>2746.44</v>
      </c>
      <c r="Q1078">
        <v>2746.44</v>
      </c>
      <c r="R1078" t="str">
        <f>IF(OR(P1078&lt;Outliers!$B$5, P1078&gt;Outliers!$B$6), "outliers", "")</f>
        <v/>
      </c>
    </row>
    <row r="1079" spans="1:18" x14ac:dyDescent="0.25">
      <c r="A1079" t="s">
        <v>3881</v>
      </c>
      <c r="B1079" s="1">
        <v>45723</v>
      </c>
      <c r="C1079">
        <v>2025</v>
      </c>
      <c r="D1079" t="s">
        <v>18</v>
      </c>
      <c r="E1079" t="s">
        <v>3882</v>
      </c>
      <c r="F1079" t="s">
        <v>55</v>
      </c>
      <c r="G1079">
        <v>3</v>
      </c>
      <c r="H1079">
        <v>305.16000000000003</v>
      </c>
      <c r="I1079" t="s">
        <v>497</v>
      </c>
      <c r="J1079" t="s">
        <v>39</v>
      </c>
      <c r="K1079" t="s">
        <v>40</v>
      </c>
      <c r="L1079" t="s">
        <v>3883</v>
      </c>
      <c r="M1079">
        <v>8</v>
      </c>
      <c r="N1079" t="s">
        <v>25</v>
      </c>
      <c r="O1079" t="s">
        <v>34</v>
      </c>
      <c r="P1079">
        <v>915.48</v>
      </c>
      <c r="Q1079">
        <v>915.48</v>
      </c>
      <c r="R1079" t="str">
        <f>IF(OR(P1079&lt;Outliers!$B$5, P1079&gt;Outliers!$B$6), "outliers", "")</f>
        <v/>
      </c>
    </row>
    <row r="1080" spans="1:18" x14ac:dyDescent="0.25">
      <c r="A1080" t="s">
        <v>3884</v>
      </c>
      <c r="B1080" s="1">
        <v>45003</v>
      </c>
      <c r="C1080">
        <v>2023</v>
      </c>
      <c r="D1080" t="s">
        <v>18</v>
      </c>
      <c r="E1080" t="s">
        <v>3885</v>
      </c>
      <c r="F1080" t="s">
        <v>80</v>
      </c>
      <c r="G1080">
        <v>1</v>
      </c>
      <c r="H1080">
        <v>41.09</v>
      </c>
      <c r="I1080" t="s">
        <v>156</v>
      </c>
      <c r="J1080" t="s">
        <v>32</v>
      </c>
      <c r="K1080" t="s">
        <v>49</v>
      </c>
      <c r="L1080" t="s">
        <v>3886</v>
      </c>
      <c r="M1080">
        <v>4</v>
      </c>
      <c r="N1080" t="s">
        <v>88</v>
      </c>
      <c r="O1080" t="s">
        <v>43</v>
      </c>
      <c r="P1080">
        <v>41.09</v>
      </c>
      <c r="Q1080">
        <v>41.09</v>
      </c>
      <c r="R1080" t="str">
        <f>IF(OR(P1080&lt;Outliers!$B$5, P1080&gt;Outliers!$B$6), "outliers", "")</f>
        <v/>
      </c>
    </row>
    <row r="1081" spans="1:18" x14ac:dyDescent="0.25">
      <c r="A1081" t="s">
        <v>3887</v>
      </c>
      <c r="B1081" s="1">
        <v>45463</v>
      </c>
      <c r="C1081">
        <v>2024</v>
      </c>
      <c r="D1081" t="s">
        <v>53</v>
      </c>
      <c r="E1081" t="s">
        <v>3888</v>
      </c>
      <c r="F1081" t="s">
        <v>30</v>
      </c>
      <c r="G1081">
        <v>5</v>
      </c>
      <c r="H1081">
        <v>634</v>
      </c>
      <c r="I1081" t="s">
        <v>3377</v>
      </c>
      <c r="J1081" t="s">
        <v>67</v>
      </c>
      <c r="K1081" t="s">
        <v>57</v>
      </c>
      <c r="L1081" t="s">
        <v>3889</v>
      </c>
      <c r="M1081">
        <v>8</v>
      </c>
      <c r="O1081" t="s">
        <v>43</v>
      </c>
      <c r="P1081">
        <v>3170</v>
      </c>
      <c r="Q1081">
        <v>3170</v>
      </c>
      <c r="R1081" t="str">
        <f>IF(OR(P1081&lt;Outliers!$B$5, P1081&gt;Outliers!$B$6), "outliers", "")</f>
        <v/>
      </c>
    </row>
    <row r="1082" spans="1:18" x14ac:dyDescent="0.25">
      <c r="A1082" t="s">
        <v>3890</v>
      </c>
      <c r="B1082" s="1">
        <v>44946</v>
      </c>
      <c r="C1082">
        <v>2023</v>
      </c>
      <c r="D1082" t="s">
        <v>18</v>
      </c>
      <c r="E1082" t="s">
        <v>3891</v>
      </c>
      <c r="F1082" t="s">
        <v>65</v>
      </c>
      <c r="G1082">
        <v>5</v>
      </c>
      <c r="H1082">
        <v>464.74</v>
      </c>
      <c r="I1082" t="s">
        <v>3892</v>
      </c>
      <c r="J1082" t="s">
        <v>67</v>
      </c>
      <c r="K1082" t="s">
        <v>57</v>
      </c>
      <c r="L1082" t="s">
        <v>3893</v>
      </c>
      <c r="M1082">
        <v>7</v>
      </c>
      <c r="O1082" t="s">
        <v>34</v>
      </c>
      <c r="P1082">
        <v>2323.6999999999998</v>
      </c>
      <c r="Q1082">
        <v>2323.6999999999998</v>
      </c>
      <c r="R1082" t="str">
        <f>IF(OR(P1082&lt;Outliers!$B$5, P1082&gt;Outliers!$B$6), "outliers", "")</f>
        <v/>
      </c>
    </row>
    <row r="1083" spans="1:18" x14ac:dyDescent="0.25">
      <c r="A1083" t="s">
        <v>3894</v>
      </c>
      <c r="B1083" s="1">
        <v>45037</v>
      </c>
      <c r="C1083">
        <v>2023</v>
      </c>
      <c r="D1083" t="s">
        <v>53</v>
      </c>
      <c r="E1083" t="s">
        <v>3895</v>
      </c>
      <c r="F1083" t="s">
        <v>20</v>
      </c>
      <c r="G1083">
        <v>4</v>
      </c>
      <c r="H1083">
        <v>425.6</v>
      </c>
      <c r="I1083" t="s">
        <v>1395</v>
      </c>
      <c r="J1083" t="s">
        <v>39</v>
      </c>
      <c r="K1083" t="s">
        <v>96</v>
      </c>
      <c r="L1083" t="s">
        <v>3896</v>
      </c>
      <c r="M1083">
        <v>5</v>
      </c>
      <c r="N1083" t="s">
        <v>42</v>
      </c>
      <c r="O1083" t="s">
        <v>83</v>
      </c>
      <c r="P1083">
        <v>1702.4</v>
      </c>
      <c r="Q1083">
        <v>1702.4</v>
      </c>
      <c r="R1083" t="str">
        <f>IF(OR(P1083&lt;Outliers!$B$5, P1083&gt;Outliers!$B$6), "outliers", "")</f>
        <v/>
      </c>
    </row>
    <row r="1084" spans="1:18" x14ac:dyDescent="0.25">
      <c r="A1084" t="s">
        <v>3897</v>
      </c>
      <c r="B1084" s="1">
        <v>45205</v>
      </c>
      <c r="C1084">
        <v>2023</v>
      </c>
      <c r="D1084" t="s">
        <v>45</v>
      </c>
      <c r="E1084" t="s">
        <v>3898</v>
      </c>
      <c r="F1084" t="s">
        <v>47</v>
      </c>
      <c r="G1084">
        <v>3</v>
      </c>
      <c r="H1084">
        <v>573.22</v>
      </c>
      <c r="I1084" t="s">
        <v>3758</v>
      </c>
      <c r="J1084" t="s">
        <v>22</v>
      </c>
      <c r="K1084" t="s">
        <v>96</v>
      </c>
      <c r="L1084" t="s">
        <v>3899</v>
      </c>
      <c r="M1084">
        <v>5</v>
      </c>
      <c r="N1084" t="s">
        <v>25</v>
      </c>
      <c r="O1084" t="s">
        <v>43</v>
      </c>
      <c r="P1084">
        <v>1719.66</v>
      </c>
      <c r="Q1084">
        <v>1719.66</v>
      </c>
      <c r="R1084" t="str">
        <f>IF(OR(P1084&lt;Outliers!$B$5, P1084&gt;Outliers!$B$6), "outliers", "")</f>
        <v/>
      </c>
    </row>
    <row r="1085" spans="1:18" x14ac:dyDescent="0.25">
      <c r="A1085" t="s">
        <v>3900</v>
      </c>
      <c r="B1085" s="1">
        <v>45482</v>
      </c>
      <c r="C1085">
        <v>2024</v>
      </c>
      <c r="D1085" t="s">
        <v>28</v>
      </c>
      <c r="E1085" t="s">
        <v>3901</v>
      </c>
      <c r="F1085" t="s">
        <v>47</v>
      </c>
      <c r="G1085">
        <v>1</v>
      </c>
      <c r="H1085">
        <v>123.28</v>
      </c>
      <c r="I1085" t="s">
        <v>168</v>
      </c>
      <c r="J1085" t="s">
        <v>39</v>
      </c>
      <c r="K1085" t="s">
        <v>57</v>
      </c>
      <c r="L1085" t="s">
        <v>3902</v>
      </c>
      <c r="M1085">
        <v>3</v>
      </c>
      <c r="N1085" t="s">
        <v>25</v>
      </c>
      <c r="O1085" t="s">
        <v>43</v>
      </c>
      <c r="P1085">
        <v>123.28</v>
      </c>
      <c r="Q1085">
        <v>123.28</v>
      </c>
      <c r="R1085" t="str">
        <f>IF(OR(P1085&lt;Outliers!$B$5, P1085&gt;Outliers!$B$6), "outliers", "")</f>
        <v/>
      </c>
    </row>
    <row r="1086" spans="1:18" x14ac:dyDescent="0.25">
      <c r="A1086" t="s">
        <v>3903</v>
      </c>
      <c r="B1086" s="1">
        <v>44934</v>
      </c>
      <c r="C1086">
        <v>2023</v>
      </c>
      <c r="D1086" t="s">
        <v>18</v>
      </c>
      <c r="E1086" t="s">
        <v>3904</v>
      </c>
      <c r="F1086" t="s">
        <v>30</v>
      </c>
      <c r="G1086">
        <v>1</v>
      </c>
      <c r="H1086">
        <v>70.819999999999993</v>
      </c>
      <c r="I1086" t="s">
        <v>188</v>
      </c>
      <c r="J1086" t="s">
        <v>67</v>
      </c>
      <c r="K1086" t="s">
        <v>96</v>
      </c>
      <c r="L1086" t="s">
        <v>3905</v>
      </c>
      <c r="M1086">
        <v>1</v>
      </c>
      <c r="N1086" t="s">
        <v>88</v>
      </c>
      <c r="O1086" t="s">
        <v>26</v>
      </c>
      <c r="P1086">
        <v>70.819999999999993</v>
      </c>
      <c r="Q1086">
        <v>70.819999999999993</v>
      </c>
      <c r="R1086" t="str">
        <f>IF(OR(P1086&lt;Outliers!$B$5, P1086&gt;Outliers!$B$6), "outliers", "")</f>
        <v/>
      </c>
    </row>
    <row r="1087" spans="1:18" x14ac:dyDescent="0.25">
      <c r="A1087" t="s">
        <v>3906</v>
      </c>
      <c r="B1087" s="1">
        <v>45067</v>
      </c>
      <c r="C1087">
        <v>2023</v>
      </c>
      <c r="D1087" t="s">
        <v>53</v>
      </c>
      <c r="E1087" t="s">
        <v>3907</v>
      </c>
      <c r="F1087" t="s">
        <v>55</v>
      </c>
      <c r="G1087">
        <v>2</v>
      </c>
      <c r="H1087">
        <v>646.69000000000005</v>
      </c>
      <c r="I1087" t="s">
        <v>621</v>
      </c>
      <c r="J1087" t="s">
        <v>22</v>
      </c>
      <c r="K1087" t="s">
        <v>23</v>
      </c>
      <c r="L1087" t="s">
        <v>3908</v>
      </c>
      <c r="M1087">
        <v>7</v>
      </c>
      <c r="N1087" t="s">
        <v>88</v>
      </c>
      <c r="O1087" t="s">
        <v>26</v>
      </c>
      <c r="P1087">
        <v>1293.3800000000001</v>
      </c>
      <c r="Q1087">
        <v>1293.3800000000001</v>
      </c>
      <c r="R1087" t="str">
        <f>IF(OR(P1087&lt;Outliers!$B$5, P1087&gt;Outliers!$B$6), "outliers", "")</f>
        <v/>
      </c>
    </row>
    <row r="1088" spans="1:18" x14ac:dyDescent="0.25">
      <c r="A1088" t="s">
        <v>3909</v>
      </c>
      <c r="B1088" s="1">
        <v>45283</v>
      </c>
      <c r="C1088">
        <v>2023</v>
      </c>
      <c r="D1088" t="s">
        <v>45</v>
      </c>
      <c r="E1088" t="s">
        <v>3910</v>
      </c>
      <c r="F1088" t="s">
        <v>37</v>
      </c>
      <c r="G1088">
        <v>2</v>
      </c>
      <c r="H1088">
        <v>513.41999999999996</v>
      </c>
      <c r="I1088" t="s">
        <v>3911</v>
      </c>
      <c r="J1088" t="s">
        <v>32</v>
      </c>
      <c r="K1088" t="s">
        <v>96</v>
      </c>
      <c r="L1088" t="s">
        <v>3912</v>
      </c>
      <c r="M1088">
        <v>5</v>
      </c>
      <c r="N1088" t="s">
        <v>88</v>
      </c>
      <c r="O1088" t="s">
        <v>26</v>
      </c>
      <c r="P1088">
        <v>1026.8399999999999</v>
      </c>
      <c r="Q1088">
        <v>1026.8399999999999</v>
      </c>
      <c r="R1088" t="str">
        <f>IF(OR(P1088&lt;Outliers!$B$5, P1088&gt;Outliers!$B$6), "outliers", "")</f>
        <v/>
      </c>
    </row>
    <row r="1089" spans="1:18" x14ac:dyDescent="0.25">
      <c r="A1089" t="s">
        <v>3913</v>
      </c>
      <c r="B1089" s="1">
        <v>45739</v>
      </c>
      <c r="C1089">
        <v>2025</v>
      </c>
      <c r="D1089" t="s">
        <v>18</v>
      </c>
      <c r="E1089" t="s">
        <v>3914</v>
      </c>
      <c r="F1089" t="s">
        <v>65</v>
      </c>
      <c r="G1089">
        <v>4</v>
      </c>
      <c r="H1089">
        <v>693.07</v>
      </c>
      <c r="I1089" t="s">
        <v>3915</v>
      </c>
      <c r="J1089" t="s">
        <v>32</v>
      </c>
      <c r="K1089" t="s">
        <v>23</v>
      </c>
      <c r="L1089" t="s">
        <v>3916</v>
      </c>
      <c r="M1089">
        <v>8</v>
      </c>
      <c r="N1089" t="s">
        <v>25</v>
      </c>
      <c r="O1089" t="s">
        <v>26</v>
      </c>
      <c r="P1089">
        <v>2772.28</v>
      </c>
      <c r="Q1089">
        <v>2772.28</v>
      </c>
      <c r="R1089" t="str">
        <f>IF(OR(P1089&lt;Outliers!$B$5, P1089&gt;Outliers!$B$6), "outliers", "")</f>
        <v/>
      </c>
    </row>
    <row r="1090" spans="1:18" x14ac:dyDescent="0.25">
      <c r="A1090" t="s">
        <v>3917</v>
      </c>
      <c r="B1090" s="1">
        <v>45260</v>
      </c>
      <c r="C1090">
        <v>2023</v>
      </c>
      <c r="D1090" t="s">
        <v>45</v>
      </c>
      <c r="E1090" t="s">
        <v>3918</v>
      </c>
      <c r="F1090" t="s">
        <v>80</v>
      </c>
      <c r="G1090">
        <v>3</v>
      </c>
      <c r="H1090">
        <v>491.43</v>
      </c>
      <c r="I1090" t="s">
        <v>3919</v>
      </c>
      <c r="J1090" t="s">
        <v>67</v>
      </c>
      <c r="K1090" t="s">
        <v>23</v>
      </c>
      <c r="L1090" t="s">
        <v>3920</v>
      </c>
      <c r="M1090">
        <v>6</v>
      </c>
      <c r="N1090" t="s">
        <v>88</v>
      </c>
      <c r="O1090" t="s">
        <v>26</v>
      </c>
      <c r="P1090">
        <v>1474.29</v>
      </c>
      <c r="Q1090">
        <v>1474.29</v>
      </c>
      <c r="R1090" t="str">
        <f>IF(OR(P1090&lt;Outliers!$B$5, P1090&gt;Outliers!$B$6), "outliers", "")</f>
        <v/>
      </c>
    </row>
    <row r="1091" spans="1:18" x14ac:dyDescent="0.25">
      <c r="A1091" t="s">
        <v>3921</v>
      </c>
      <c r="B1091" s="1">
        <v>45731</v>
      </c>
      <c r="C1091">
        <v>2025</v>
      </c>
      <c r="D1091" t="s">
        <v>18</v>
      </c>
      <c r="E1091" t="s">
        <v>3922</v>
      </c>
      <c r="F1091" t="s">
        <v>37</v>
      </c>
      <c r="G1091">
        <v>2</v>
      </c>
      <c r="H1091">
        <v>599.74</v>
      </c>
      <c r="I1091" t="s">
        <v>312</v>
      </c>
      <c r="J1091" t="s">
        <v>67</v>
      </c>
      <c r="K1091" t="s">
        <v>23</v>
      </c>
      <c r="L1091" t="s">
        <v>3923</v>
      </c>
      <c r="M1091">
        <v>2</v>
      </c>
      <c r="O1091" t="s">
        <v>26</v>
      </c>
      <c r="P1091">
        <v>1199.48</v>
      </c>
      <c r="Q1091">
        <v>1199.48</v>
      </c>
      <c r="R1091" t="str">
        <f>IF(OR(P1091&lt;Outliers!$B$5, P1091&gt;Outliers!$B$6), "outliers", "")</f>
        <v/>
      </c>
    </row>
    <row r="1092" spans="1:18" x14ac:dyDescent="0.25">
      <c r="A1092" t="s">
        <v>3924</v>
      </c>
      <c r="B1092" s="1">
        <v>44982</v>
      </c>
      <c r="C1092">
        <v>2023</v>
      </c>
      <c r="D1092" t="s">
        <v>18</v>
      </c>
      <c r="E1092" t="s">
        <v>3925</v>
      </c>
      <c r="F1092" t="s">
        <v>20</v>
      </c>
      <c r="G1092">
        <v>2</v>
      </c>
      <c r="H1092">
        <v>650.25</v>
      </c>
      <c r="I1092" t="s">
        <v>172</v>
      </c>
      <c r="J1092" t="s">
        <v>67</v>
      </c>
      <c r="K1092" t="s">
        <v>49</v>
      </c>
      <c r="L1092" t="s">
        <v>3926</v>
      </c>
      <c r="M1092">
        <v>6</v>
      </c>
      <c r="O1092" t="s">
        <v>26</v>
      </c>
      <c r="P1092">
        <v>1300.5</v>
      </c>
      <c r="Q1092">
        <v>1300.5</v>
      </c>
      <c r="R1092" t="str">
        <f>IF(OR(P1092&lt;Outliers!$B$5, P1092&gt;Outliers!$B$6), "outliers", "")</f>
        <v/>
      </c>
    </row>
    <row r="1093" spans="1:18" x14ac:dyDescent="0.25">
      <c r="A1093" t="s">
        <v>3927</v>
      </c>
      <c r="B1093" s="1">
        <v>45573</v>
      </c>
      <c r="C1093">
        <v>2024</v>
      </c>
      <c r="D1093" t="s">
        <v>45</v>
      </c>
      <c r="E1093" t="s">
        <v>3928</v>
      </c>
      <c r="F1093" t="s">
        <v>65</v>
      </c>
      <c r="G1093">
        <v>3</v>
      </c>
      <c r="H1093">
        <v>209.48</v>
      </c>
      <c r="I1093" t="s">
        <v>1616</v>
      </c>
      <c r="J1093" t="s">
        <v>22</v>
      </c>
      <c r="K1093" t="s">
        <v>96</v>
      </c>
      <c r="L1093" t="s">
        <v>3929</v>
      </c>
      <c r="M1093">
        <v>4</v>
      </c>
      <c r="O1093" t="s">
        <v>43</v>
      </c>
      <c r="P1093">
        <v>628.44000000000005</v>
      </c>
      <c r="Q1093">
        <v>628.44000000000005</v>
      </c>
      <c r="R1093" t="str">
        <f>IF(OR(P1093&lt;Outliers!$B$5, P1093&gt;Outliers!$B$6), "outliers", "")</f>
        <v/>
      </c>
    </row>
    <row r="1094" spans="1:18" x14ac:dyDescent="0.25">
      <c r="A1094" t="s">
        <v>3930</v>
      </c>
      <c r="B1094" s="1">
        <v>45159</v>
      </c>
      <c r="C1094">
        <v>2023</v>
      </c>
      <c r="D1094" t="s">
        <v>28</v>
      </c>
      <c r="E1094" t="s">
        <v>3931</v>
      </c>
      <c r="F1094" t="s">
        <v>65</v>
      </c>
      <c r="G1094">
        <v>5</v>
      </c>
      <c r="H1094">
        <v>209.2</v>
      </c>
      <c r="I1094" t="s">
        <v>164</v>
      </c>
      <c r="J1094" t="s">
        <v>22</v>
      </c>
      <c r="K1094" t="s">
        <v>57</v>
      </c>
      <c r="L1094" t="s">
        <v>3932</v>
      </c>
      <c r="M1094">
        <v>6</v>
      </c>
      <c r="N1094" t="s">
        <v>88</v>
      </c>
      <c r="O1094" t="s">
        <v>43</v>
      </c>
      <c r="P1094">
        <v>1046</v>
      </c>
      <c r="Q1094">
        <v>1046</v>
      </c>
      <c r="R1094" t="str">
        <f>IF(OR(P1094&lt;Outliers!$B$5, P1094&gt;Outliers!$B$6), "outliers", "")</f>
        <v/>
      </c>
    </row>
    <row r="1095" spans="1:18" x14ac:dyDescent="0.25">
      <c r="A1095" t="s">
        <v>3933</v>
      </c>
      <c r="B1095" s="1">
        <v>45086</v>
      </c>
      <c r="C1095">
        <v>2023</v>
      </c>
      <c r="D1095" t="s">
        <v>53</v>
      </c>
      <c r="E1095" t="s">
        <v>3934</v>
      </c>
      <c r="F1095" t="s">
        <v>30</v>
      </c>
      <c r="G1095">
        <v>4</v>
      </c>
      <c r="H1095">
        <v>197.36</v>
      </c>
      <c r="I1095" t="s">
        <v>3935</v>
      </c>
      <c r="J1095" t="s">
        <v>67</v>
      </c>
      <c r="K1095" t="s">
        <v>49</v>
      </c>
      <c r="L1095" t="s">
        <v>3936</v>
      </c>
      <c r="M1095">
        <v>9</v>
      </c>
      <c r="N1095" t="s">
        <v>42</v>
      </c>
      <c r="O1095" t="s">
        <v>26</v>
      </c>
      <c r="P1095">
        <v>789.44</v>
      </c>
      <c r="Q1095">
        <v>789.44</v>
      </c>
      <c r="R1095" t="str">
        <f>IF(OR(P1095&lt;Outliers!$B$5, P1095&gt;Outliers!$B$6), "outliers", "")</f>
        <v/>
      </c>
    </row>
    <row r="1096" spans="1:18" x14ac:dyDescent="0.25">
      <c r="A1096" t="s">
        <v>3937</v>
      </c>
      <c r="B1096" s="1">
        <v>45105</v>
      </c>
      <c r="C1096">
        <v>2023</v>
      </c>
      <c r="D1096" t="s">
        <v>53</v>
      </c>
      <c r="E1096" t="s">
        <v>3938</v>
      </c>
      <c r="F1096" t="s">
        <v>55</v>
      </c>
      <c r="G1096">
        <v>4</v>
      </c>
      <c r="H1096">
        <v>648.91</v>
      </c>
      <c r="I1096" t="s">
        <v>3939</v>
      </c>
      <c r="J1096" t="s">
        <v>39</v>
      </c>
      <c r="K1096" t="s">
        <v>23</v>
      </c>
      <c r="L1096" t="s">
        <v>3940</v>
      </c>
      <c r="M1096">
        <v>6</v>
      </c>
      <c r="N1096" t="s">
        <v>25</v>
      </c>
      <c r="O1096" t="s">
        <v>26</v>
      </c>
      <c r="P1096">
        <v>2595.64</v>
      </c>
      <c r="Q1096">
        <v>2595.64</v>
      </c>
      <c r="R1096" t="str">
        <f>IF(OR(P1096&lt;Outliers!$B$5, P1096&gt;Outliers!$B$6), "outliers", "")</f>
        <v/>
      </c>
    </row>
    <row r="1097" spans="1:18" x14ac:dyDescent="0.25">
      <c r="A1097" t="s">
        <v>3941</v>
      </c>
      <c r="B1097" s="1">
        <v>45405</v>
      </c>
      <c r="C1097">
        <v>2024</v>
      </c>
      <c r="D1097" t="s">
        <v>53</v>
      </c>
      <c r="E1097" t="s">
        <v>3942</v>
      </c>
      <c r="F1097" t="s">
        <v>30</v>
      </c>
      <c r="G1097">
        <v>2</v>
      </c>
      <c r="H1097">
        <v>441.54</v>
      </c>
      <c r="I1097" t="s">
        <v>3943</v>
      </c>
      <c r="J1097" t="s">
        <v>32</v>
      </c>
      <c r="K1097" t="s">
        <v>57</v>
      </c>
      <c r="L1097" t="s">
        <v>3944</v>
      </c>
      <c r="M1097">
        <v>2</v>
      </c>
      <c r="N1097" t="s">
        <v>25</v>
      </c>
      <c r="O1097" t="s">
        <v>43</v>
      </c>
      <c r="P1097">
        <v>883.08</v>
      </c>
      <c r="Q1097">
        <v>883.08</v>
      </c>
      <c r="R1097" t="str">
        <f>IF(OR(P1097&lt;Outliers!$B$5, P1097&gt;Outliers!$B$6), "outliers", "")</f>
        <v/>
      </c>
    </row>
    <row r="1098" spans="1:18" x14ac:dyDescent="0.25">
      <c r="A1098" t="s">
        <v>3945</v>
      </c>
      <c r="B1098" s="1">
        <v>45780</v>
      </c>
      <c r="C1098">
        <v>2025</v>
      </c>
      <c r="D1098" t="s">
        <v>53</v>
      </c>
      <c r="E1098" t="s">
        <v>3946</v>
      </c>
      <c r="F1098" t="s">
        <v>37</v>
      </c>
      <c r="G1098">
        <v>2</v>
      </c>
      <c r="H1098">
        <v>464.92</v>
      </c>
      <c r="I1098" t="s">
        <v>3947</v>
      </c>
      <c r="J1098" t="s">
        <v>22</v>
      </c>
      <c r="K1098" t="s">
        <v>49</v>
      </c>
      <c r="L1098" t="s">
        <v>3948</v>
      </c>
      <c r="M1098">
        <v>2</v>
      </c>
      <c r="O1098" t="s">
        <v>51</v>
      </c>
      <c r="P1098">
        <v>929.84</v>
      </c>
      <c r="Q1098">
        <v>929.84</v>
      </c>
      <c r="R1098" t="str">
        <f>IF(OR(P1098&lt;Outliers!$B$5, P1098&gt;Outliers!$B$6), "outliers", "")</f>
        <v/>
      </c>
    </row>
    <row r="1099" spans="1:18" x14ac:dyDescent="0.25">
      <c r="A1099" t="s">
        <v>3949</v>
      </c>
      <c r="B1099" s="1">
        <v>45652</v>
      </c>
      <c r="C1099">
        <v>2024</v>
      </c>
      <c r="D1099" t="s">
        <v>45</v>
      </c>
      <c r="E1099" t="s">
        <v>3950</v>
      </c>
      <c r="F1099" t="s">
        <v>20</v>
      </c>
      <c r="G1099">
        <v>5</v>
      </c>
      <c r="H1099">
        <v>506.45</v>
      </c>
      <c r="I1099" t="s">
        <v>3951</v>
      </c>
      <c r="J1099" t="s">
        <v>67</v>
      </c>
      <c r="K1099" t="s">
        <v>23</v>
      </c>
      <c r="L1099" t="s">
        <v>3952</v>
      </c>
      <c r="M1099">
        <v>7</v>
      </c>
      <c r="N1099" t="s">
        <v>88</v>
      </c>
      <c r="O1099" t="s">
        <v>83</v>
      </c>
      <c r="P1099">
        <v>2532.25</v>
      </c>
      <c r="Q1099">
        <v>2532.25</v>
      </c>
      <c r="R1099" t="str">
        <f>IF(OR(P1099&lt;Outliers!$B$5, P1099&gt;Outliers!$B$6), "outliers", "")</f>
        <v/>
      </c>
    </row>
    <row r="1100" spans="1:18" x14ac:dyDescent="0.25">
      <c r="A1100" t="s">
        <v>3953</v>
      </c>
      <c r="B1100" s="1">
        <v>45094</v>
      </c>
      <c r="C1100">
        <v>2023</v>
      </c>
      <c r="D1100" t="s">
        <v>53</v>
      </c>
      <c r="E1100" t="s">
        <v>3954</v>
      </c>
      <c r="F1100" t="s">
        <v>20</v>
      </c>
      <c r="G1100">
        <v>4</v>
      </c>
      <c r="H1100">
        <v>255.86</v>
      </c>
      <c r="I1100" t="s">
        <v>3955</v>
      </c>
      <c r="J1100" t="s">
        <v>39</v>
      </c>
      <c r="K1100" t="s">
        <v>57</v>
      </c>
      <c r="L1100" t="s">
        <v>3956</v>
      </c>
      <c r="M1100">
        <v>7</v>
      </c>
      <c r="O1100" t="s">
        <v>43</v>
      </c>
      <c r="P1100">
        <v>1023.44</v>
      </c>
      <c r="Q1100">
        <v>1023.44</v>
      </c>
      <c r="R1100" t="str">
        <f>IF(OR(P1100&lt;Outliers!$B$5, P1100&gt;Outliers!$B$6), "outliers", "")</f>
        <v/>
      </c>
    </row>
    <row r="1101" spans="1:18" x14ac:dyDescent="0.25">
      <c r="A1101" t="s">
        <v>3957</v>
      </c>
      <c r="B1101" s="1">
        <v>45554</v>
      </c>
      <c r="C1101">
        <v>2024</v>
      </c>
      <c r="D1101" t="s">
        <v>28</v>
      </c>
      <c r="E1101" t="s">
        <v>3958</v>
      </c>
      <c r="F1101" t="s">
        <v>65</v>
      </c>
      <c r="G1101">
        <v>2</v>
      </c>
      <c r="H1101">
        <v>125.23</v>
      </c>
      <c r="I1101" t="s">
        <v>1508</v>
      </c>
      <c r="J1101" t="s">
        <v>72</v>
      </c>
      <c r="K1101" t="s">
        <v>40</v>
      </c>
      <c r="L1101" t="s">
        <v>3959</v>
      </c>
      <c r="M1101">
        <v>3</v>
      </c>
      <c r="N1101" t="s">
        <v>42</v>
      </c>
      <c r="O1101" t="s">
        <v>43</v>
      </c>
      <c r="P1101">
        <v>250.46</v>
      </c>
      <c r="Q1101">
        <v>250.46</v>
      </c>
      <c r="R1101" t="str">
        <f>IF(OR(P1101&lt;Outliers!$B$5, P1101&gt;Outliers!$B$6), "outliers", "")</f>
        <v/>
      </c>
    </row>
    <row r="1102" spans="1:18" x14ac:dyDescent="0.25">
      <c r="A1102" t="s">
        <v>3960</v>
      </c>
      <c r="B1102" s="1">
        <v>45155</v>
      </c>
      <c r="C1102">
        <v>2023</v>
      </c>
      <c r="D1102" t="s">
        <v>28</v>
      </c>
      <c r="E1102" t="s">
        <v>3961</v>
      </c>
      <c r="F1102" t="s">
        <v>65</v>
      </c>
      <c r="G1102">
        <v>5</v>
      </c>
      <c r="H1102">
        <v>38.11</v>
      </c>
      <c r="I1102" t="s">
        <v>3962</v>
      </c>
      <c r="J1102" t="s">
        <v>22</v>
      </c>
      <c r="K1102" t="s">
        <v>40</v>
      </c>
      <c r="L1102" t="s">
        <v>3963</v>
      </c>
      <c r="M1102">
        <v>6</v>
      </c>
      <c r="N1102" t="s">
        <v>88</v>
      </c>
      <c r="O1102" t="s">
        <v>26</v>
      </c>
      <c r="P1102">
        <v>190.55</v>
      </c>
      <c r="Q1102">
        <v>190.55</v>
      </c>
      <c r="R1102" t="str">
        <f>IF(OR(P1102&lt;Outliers!$B$5, P1102&gt;Outliers!$B$6), "outliers", "")</f>
        <v/>
      </c>
    </row>
    <row r="1103" spans="1:18" x14ac:dyDescent="0.25">
      <c r="A1103" t="s">
        <v>3964</v>
      </c>
      <c r="B1103" s="1">
        <v>45816</v>
      </c>
      <c r="C1103">
        <v>2025</v>
      </c>
      <c r="D1103" t="s">
        <v>53</v>
      </c>
      <c r="E1103" t="s">
        <v>3965</v>
      </c>
      <c r="F1103" t="s">
        <v>20</v>
      </c>
      <c r="G1103">
        <v>3</v>
      </c>
      <c r="H1103">
        <v>161.97</v>
      </c>
      <c r="I1103" t="s">
        <v>76</v>
      </c>
      <c r="J1103" t="s">
        <v>72</v>
      </c>
      <c r="K1103" t="s">
        <v>96</v>
      </c>
      <c r="L1103" t="s">
        <v>3966</v>
      </c>
      <c r="M1103">
        <v>4</v>
      </c>
      <c r="N1103" t="s">
        <v>25</v>
      </c>
      <c r="O1103" t="s">
        <v>43</v>
      </c>
      <c r="P1103">
        <v>485.91</v>
      </c>
      <c r="Q1103">
        <v>485.91</v>
      </c>
      <c r="R1103" t="str">
        <f>IF(OR(P1103&lt;Outliers!$B$5, P1103&gt;Outliers!$B$6), "outliers", "")</f>
        <v/>
      </c>
    </row>
    <row r="1104" spans="1:18" x14ac:dyDescent="0.25">
      <c r="A1104" t="s">
        <v>3967</v>
      </c>
      <c r="B1104" s="1">
        <v>45446</v>
      </c>
      <c r="C1104">
        <v>2024</v>
      </c>
      <c r="D1104" t="s">
        <v>53</v>
      </c>
      <c r="E1104" t="s">
        <v>103</v>
      </c>
      <c r="F1104" t="s">
        <v>47</v>
      </c>
      <c r="G1104">
        <v>4</v>
      </c>
      <c r="H1104">
        <v>347.17</v>
      </c>
      <c r="I1104" t="s">
        <v>2786</v>
      </c>
      <c r="J1104" t="s">
        <v>22</v>
      </c>
      <c r="K1104" t="s">
        <v>23</v>
      </c>
      <c r="L1104" t="s">
        <v>3968</v>
      </c>
      <c r="M1104">
        <v>8</v>
      </c>
      <c r="O1104" t="s">
        <v>26</v>
      </c>
      <c r="P1104">
        <v>1388.68</v>
      </c>
      <c r="Q1104">
        <v>1388.68</v>
      </c>
      <c r="R1104" t="str">
        <f>IF(OR(P1104&lt;Outliers!$B$5, P1104&gt;Outliers!$B$6), "outliers", "")</f>
        <v/>
      </c>
    </row>
    <row r="1105" spans="1:18" x14ac:dyDescent="0.25">
      <c r="A1105" t="s">
        <v>3969</v>
      </c>
      <c r="B1105" s="1">
        <v>45040</v>
      </c>
      <c r="C1105">
        <v>2023</v>
      </c>
      <c r="D1105" t="s">
        <v>53</v>
      </c>
      <c r="E1105" t="s">
        <v>3970</v>
      </c>
      <c r="F1105" t="s">
        <v>65</v>
      </c>
      <c r="G1105">
        <v>4</v>
      </c>
      <c r="H1105">
        <v>276.32</v>
      </c>
      <c r="I1105" t="s">
        <v>334</v>
      </c>
      <c r="J1105" t="s">
        <v>32</v>
      </c>
      <c r="K1105" t="s">
        <v>57</v>
      </c>
      <c r="L1105" t="s">
        <v>3971</v>
      </c>
      <c r="M1105">
        <v>5</v>
      </c>
      <c r="O1105" t="s">
        <v>83</v>
      </c>
      <c r="P1105">
        <v>1105.28</v>
      </c>
      <c r="Q1105">
        <v>1105.28</v>
      </c>
      <c r="R1105" t="str">
        <f>IF(OR(P1105&lt;Outliers!$B$5, P1105&gt;Outliers!$B$6), "outliers", "")</f>
        <v/>
      </c>
    </row>
    <row r="1106" spans="1:18" x14ac:dyDescent="0.25">
      <c r="A1106" t="s">
        <v>3972</v>
      </c>
      <c r="B1106" s="1">
        <v>45498</v>
      </c>
      <c r="C1106">
        <v>2024</v>
      </c>
      <c r="D1106" t="s">
        <v>28</v>
      </c>
      <c r="E1106" t="s">
        <v>3973</v>
      </c>
      <c r="F1106" t="s">
        <v>37</v>
      </c>
      <c r="G1106">
        <v>4</v>
      </c>
      <c r="H1106">
        <v>314.76</v>
      </c>
      <c r="I1106" t="s">
        <v>3974</v>
      </c>
      <c r="J1106" t="s">
        <v>32</v>
      </c>
      <c r="K1106" t="s">
        <v>23</v>
      </c>
      <c r="L1106" t="s">
        <v>3975</v>
      </c>
      <c r="M1106">
        <v>8</v>
      </c>
      <c r="O1106" t="s">
        <v>26</v>
      </c>
      <c r="P1106">
        <v>1259.04</v>
      </c>
      <c r="Q1106">
        <v>1259.04</v>
      </c>
      <c r="R1106" t="str">
        <f>IF(OR(P1106&lt;Outliers!$B$5, P1106&gt;Outliers!$B$6), "outliers", "")</f>
        <v/>
      </c>
    </row>
    <row r="1107" spans="1:18" x14ac:dyDescent="0.25">
      <c r="A1107" t="s">
        <v>3976</v>
      </c>
      <c r="B1107" s="1">
        <v>45299</v>
      </c>
      <c r="C1107">
        <v>2024</v>
      </c>
      <c r="D1107" t="s">
        <v>18</v>
      </c>
      <c r="E1107" t="s">
        <v>3977</v>
      </c>
      <c r="F1107" t="s">
        <v>37</v>
      </c>
      <c r="G1107">
        <v>3</v>
      </c>
      <c r="H1107">
        <v>475.69</v>
      </c>
      <c r="I1107" t="s">
        <v>1104</v>
      </c>
      <c r="J1107" t="s">
        <v>67</v>
      </c>
      <c r="K1107" t="s">
        <v>40</v>
      </c>
      <c r="L1107" t="s">
        <v>3978</v>
      </c>
      <c r="M1107">
        <v>3</v>
      </c>
      <c r="N1107" t="s">
        <v>42</v>
      </c>
      <c r="O1107" t="s">
        <v>83</v>
      </c>
      <c r="P1107">
        <v>1427.07</v>
      </c>
      <c r="Q1107">
        <v>1427.07</v>
      </c>
      <c r="R1107" t="str">
        <f>IF(OR(P1107&lt;Outliers!$B$5, P1107&gt;Outliers!$B$6), "outliers", "")</f>
        <v/>
      </c>
    </row>
    <row r="1108" spans="1:18" x14ac:dyDescent="0.25">
      <c r="A1108" t="s">
        <v>3979</v>
      </c>
      <c r="B1108" s="1">
        <v>44997</v>
      </c>
      <c r="C1108">
        <v>2023</v>
      </c>
      <c r="D1108" t="s">
        <v>18</v>
      </c>
      <c r="E1108" t="s">
        <v>3980</v>
      </c>
      <c r="F1108" t="s">
        <v>47</v>
      </c>
      <c r="G1108">
        <v>1</v>
      </c>
      <c r="H1108">
        <v>372.8</v>
      </c>
      <c r="I1108" t="s">
        <v>100</v>
      </c>
      <c r="J1108" t="s">
        <v>72</v>
      </c>
      <c r="K1108" t="s">
        <v>40</v>
      </c>
      <c r="L1108" t="s">
        <v>3981</v>
      </c>
      <c r="M1108">
        <v>6</v>
      </c>
      <c r="N1108" t="s">
        <v>25</v>
      </c>
      <c r="O1108" t="s">
        <v>51</v>
      </c>
      <c r="P1108">
        <v>372.8</v>
      </c>
      <c r="Q1108">
        <v>372.8</v>
      </c>
      <c r="R1108" t="str">
        <f>IF(OR(P1108&lt;Outliers!$B$5, P1108&gt;Outliers!$B$6), "outliers", "")</f>
        <v/>
      </c>
    </row>
    <row r="1109" spans="1:18" x14ac:dyDescent="0.25">
      <c r="A1109" t="s">
        <v>3982</v>
      </c>
      <c r="B1109" s="1">
        <v>45838</v>
      </c>
      <c r="C1109">
        <v>2025</v>
      </c>
      <c r="D1109" t="s">
        <v>53</v>
      </c>
      <c r="E1109" t="s">
        <v>3983</v>
      </c>
      <c r="F1109" t="s">
        <v>37</v>
      </c>
      <c r="G1109">
        <v>2</v>
      </c>
      <c r="H1109">
        <v>63.21</v>
      </c>
      <c r="I1109" t="s">
        <v>2297</v>
      </c>
      <c r="J1109" t="s">
        <v>32</v>
      </c>
      <c r="K1109" t="s">
        <v>40</v>
      </c>
      <c r="L1109" t="s">
        <v>3984</v>
      </c>
      <c r="M1109">
        <v>4</v>
      </c>
      <c r="N1109" t="s">
        <v>25</v>
      </c>
      <c r="O1109" t="s">
        <v>83</v>
      </c>
      <c r="P1109">
        <v>126.42</v>
      </c>
      <c r="Q1109">
        <v>126.42</v>
      </c>
      <c r="R1109" t="str">
        <f>IF(OR(P1109&lt;Outliers!$B$5, P1109&gt;Outliers!$B$6), "outliers", "")</f>
        <v/>
      </c>
    </row>
    <row r="1110" spans="1:18" x14ac:dyDescent="0.25">
      <c r="A1110" t="s">
        <v>3985</v>
      </c>
      <c r="B1110" s="1">
        <v>45005</v>
      </c>
      <c r="C1110">
        <v>2023</v>
      </c>
      <c r="D1110" t="s">
        <v>18</v>
      </c>
      <c r="E1110" t="s">
        <v>3986</v>
      </c>
      <c r="F1110" t="s">
        <v>65</v>
      </c>
      <c r="G1110">
        <v>1</v>
      </c>
      <c r="H1110">
        <v>634.94000000000005</v>
      </c>
      <c r="I1110" t="s">
        <v>3987</v>
      </c>
      <c r="J1110" t="s">
        <v>32</v>
      </c>
      <c r="K1110" t="s">
        <v>40</v>
      </c>
      <c r="L1110" t="s">
        <v>3988</v>
      </c>
      <c r="M1110">
        <v>5</v>
      </c>
      <c r="N1110" t="s">
        <v>88</v>
      </c>
      <c r="O1110" t="s">
        <v>26</v>
      </c>
      <c r="P1110">
        <v>634.94000000000005</v>
      </c>
      <c r="Q1110">
        <v>634.94000000000005</v>
      </c>
      <c r="R1110" t="str">
        <f>IF(OR(P1110&lt;Outliers!$B$5, P1110&gt;Outliers!$B$6), "outliers", "")</f>
        <v/>
      </c>
    </row>
    <row r="1111" spans="1:18" x14ac:dyDescent="0.25">
      <c r="A1111" t="s">
        <v>3989</v>
      </c>
      <c r="B1111" s="1">
        <v>45390</v>
      </c>
      <c r="C1111">
        <v>2024</v>
      </c>
      <c r="D1111" t="s">
        <v>53</v>
      </c>
      <c r="E1111" t="s">
        <v>3990</v>
      </c>
      <c r="F1111" t="s">
        <v>55</v>
      </c>
      <c r="G1111">
        <v>4</v>
      </c>
      <c r="H1111">
        <v>77.47</v>
      </c>
      <c r="I1111" t="s">
        <v>1786</v>
      </c>
      <c r="J1111" t="s">
        <v>67</v>
      </c>
      <c r="K1111" t="s">
        <v>49</v>
      </c>
      <c r="L1111" t="s">
        <v>3991</v>
      </c>
      <c r="M1111">
        <v>7</v>
      </c>
      <c r="N1111" t="s">
        <v>25</v>
      </c>
      <c r="O1111" t="s">
        <v>26</v>
      </c>
      <c r="P1111">
        <v>309.88</v>
      </c>
      <c r="Q1111">
        <v>309.88</v>
      </c>
      <c r="R1111" t="str">
        <f>IF(OR(P1111&lt;Outliers!$B$5, P1111&gt;Outliers!$B$6), "outliers", "")</f>
        <v/>
      </c>
    </row>
    <row r="1112" spans="1:18" x14ac:dyDescent="0.25">
      <c r="A1112" t="s">
        <v>3992</v>
      </c>
      <c r="B1112" s="1">
        <v>45347</v>
      </c>
      <c r="C1112">
        <v>2024</v>
      </c>
      <c r="D1112" t="s">
        <v>18</v>
      </c>
      <c r="E1112" t="s">
        <v>3993</v>
      </c>
      <c r="F1112" t="s">
        <v>47</v>
      </c>
      <c r="G1112">
        <v>3</v>
      </c>
      <c r="H1112">
        <v>84.31</v>
      </c>
      <c r="I1112" t="s">
        <v>180</v>
      </c>
      <c r="J1112" t="s">
        <v>39</v>
      </c>
      <c r="K1112" t="s">
        <v>23</v>
      </c>
      <c r="L1112" t="s">
        <v>3994</v>
      </c>
      <c r="M1112">
        <v>3</v>
      </c>
      <c r="N1112" t="s">
        <v>25</v>
      </c>
      <c r="O1112" t="s">
        <v>43</v>
      </c>
      <c r="P1112">
        <v>252.93</v>
      </c>
      <c r="Q1112">
        <v>252.93</v>
      </c>
      <c r="R1112" t="str">
        <f>IF(OR(P1112&lt;Outliers!$B$5, P1112&gt;Outliers!$B$6), "outliers", "")</f>
        <v/>
      </c>
    </row>
    <row r="1113" spans="1:18" x14ac:dyDescent="0.25">
      <c r="A1113" t="s">
        <v>3995</v>
      </c>
      <c r="B1113" s="1">
        <v>45052</v>
      </c>
      <c r="C1113">
        <v>2023</v>
      </c>
      <c r="D1113" t="s">
        <v>53</v>
      </c>
      <c r="E1113" t="s">
        <v>3996</v>
      </c>
      <c r="F1113" t="s">
        <v>20</v>
      </c>
      <c r="G1113">
        <v>4</v>
      </c>
      <c r="H1113">
        <v>234.45</v>
      </c>
      <c r="I1113" t="s">
        <v>3997</v>
      </c>
      <c r="J1113" t="s">
        <v>32</v>
      </c>
      <c r="K1113" t="s">
        <v>40</v>
      </c>
      <c r="L1113" t="s">
        <v>3998</v>
      </c>
      <c r="M1113">
        <v>9</v>
      </c>
      <c r="N1113" t="s">
        <v>42</v>
      </c>
      <c r="O1113" t="s">
        <v>26</v>
      </c>
      <c r="P1113">
        <v>937.8</v>
      </c>
      <c r="Q1113">
        <v>937.8</v>
      </c>
      <c r="R1113" t="str">
        <f>IF(OR(P1113&lt;Outliers!$B$5, P1113&gt;Outliers!$B$6), "outliers", "")</f>
        <v/>
      </c>
    </row>
    <row r="1114" spans="1:18" x14ac:dyDescent="0.25">
      <c r="A1114" t="s">
        <v>3999</v>
      </c>
      <c r="B1114" s="1">
        <v>45212</v>
      </c>
      <c r="C1114">
        <v>2023</v>
      </c>
      <c r="D1114" t="s">
        <v>45</v>
      </c>
      <c r="E1114" t="s">
        <v>4000</v>
      </c>
      <c r="F1114" t="s">
        <v>80</v>
      </c>
      <c r="G1114">
        <v>1</v>
      </c>
      <c r="H1114">
        <v>356.81</v>
      </c>
      <c r="I1114" t="s">
        <v>536</v>
      </c>
      <c r="J1114" t="s">
        <v>32</v>
      </c>
      <c r="K1114" t="s">
        <v>57</v>
      </c>
      <c r="L1114" t="s">
        <v>4001</v>
      </c>
      <c r="M1114">
        <v>1</v>
      </c>
      <c r="N1114" t="s">
        <v>88</v>
      </c>
      <c r="O1114" t="s">
        <v>26</v>
      </c>
      <c r="P1114">
        <v>356.81</v>
      </c>
      <c r="Q1114">
        <v>356.81</v>
      </c>
      <c r="R1114" t="str">
        <f>IF(OR(P1114&lt;Outliers!$B$5, P1114&gt;Outliers!$B$6), "outliers", "")</f>
        <v/>
      </c>
    </row>
    <row r="1115" spans="1:18" x14ac:dyDescent="0.25">
      <c r="A1115" t="s">
        <v>4002</v>
      </c>
      <c r="B1115" s="1">
        <v>45004</v>
      </c>
      <c r="C1115">
        <v>2023</v>
      </c>
      <c r="D1115" t="s">
        <v>18</v>
      </c>
      <c r="E1115" t="s">
        <v>4003</v>
      </c>
      <c r="F1115" t="s">
        <v>80</v>
      </c>
      <c r="G1115">
        <v>4</v>
      </c>
      <c r="H1115">
        <v>209.99</v>
      </c>
      <c r="I1115" t="s">
        <v>3412</v>
      </c>
      <c r="J1115" t="s">
        <v>72</v>
      </c>
      <c r="K1115" t="s">
        <v>57</v>
      </c>
      <c r="L1115" t="s">
        <v>4004</v>
      </c>
      <c r="M1115">
        <v>8</v>
      </c>
      <c r="O1115" t="s">
        <v>83</v>
      </c>
      <c r="P1115">
        <v>839.96</v>
      </c>
      <c r="Q1115">
        <v>839.96</v>
      </c>
      <c r="R1115" t="str">
        <f>IF(OR(P1115&lt;Outliers!$B$5, P1115&gt;Outliers!$B$6), "outliers", "")</f>
        <v/>
      </c>
    </row>
    <row r="1116" spans="1:18" x14ac:dyDescent="0.25">
      <c r="A1116" t="s">
        <v>4005</v>
      </c>
      <c r="B1116" s="1">
        <v>45001</v>
      </c>
      <c r="C1116">
        <v>2023</v>
      </c>
      <c r="D1116" t="s">
        <v>18</v>
      </c>
      <c r="E1116" t="s">
        <v>4006</v>
      </c>
      <c r="F1116" t="s">
        <v>37</v>
      </c>
      <c r="G1116">
        <v>3</v>
      </c>
      <c r="H1116">
        <v>659.88</v>
      </c>
      <c r="I1116" t="s">
        <v>844</v>
      </c>
      <c r="J1116" t="s">
        <v>67</v>
      </c>
      <c r="K1116" t="s">
        <v>40</v>
      </c>
      <c r="L1116" t="s">
        <v>4007</v>
      </c>
      <c r="M1116">
        <v>3</v>
      </c>
      <c r="O1116" t="s">
        <v>83</v>
      </c>
      <c r="P1116">
        <v>1979.64</v>
      </c>
      <c r="Q1116">
        <v>1979.64</v>
      </c>
      <c r="R1116" t="str">
        <f>IF(OR(P1116&lt;Outliers!$B$5, P1116&gt;Outliers!$B$6), "outliers", "")</f>
        <v/>
      </c>
    </row>
    <row r="1117" spans="1:18" x14ac:dyDescent="0.25">
      <c r="A1117" t="s">
        <v>4008</v>
      </c>
      <c r="B1117" s="1">
        <v>45828</v>
      </c>
      <c r="C1117">
        <v>2025</v>
      </c>
      <c r="D1117" t="s">
        <v>53</v>
      </c>
      <c r="E1117" t="s">
        <v>4009</v>
      </c>
      <c r="F1117" t="s">
        <v>65</v>
      </c>
      <c r="G1117">
        <v>2</v>
      </c>
      <c r="H1117">
        <v>336.32</v>
      </c>
      <c r="I1117" t="s">
        <v>959</v>
      </c>
      <c r="J1117" t="s">
        <v>32</v>
      </c>
      <c r="K1117" t="s">
        <v>49</v>
      </c>
      <c r="L1117" t="s">
        <v>4010</v>
      </c>
      <c r="M1117">
        <v>3</v>
      </c>
      <c r="O1117" t="s">
        <v>83</v>
      </c>
      <c r="P1117">
        <v>672.64</v>
      </c>
      <c r="Q1117">
        <v>672.64</v>
      </c>
      <c r="R1117" t="str">
        <f>IF(OR(P1117&lt;Outliers!$B$5, P1117&gt;Outliers!$B$6), "outliers", "")</f>
        <v/>
      </c>
    </row>
    <row r="1118" spans="1:18" x14ac:dyDescent="0.25">
      <c r="A1118" t="s">
        <v>4011</v>
      </c>
      <c r="B1118" s="1">
        <v>45213</v>
      </c>
      <c r="C1118">
        <v>2023</v>
      </c>
      <c r="D1118" t="s">
        <v>45</v>
      </c>
      <c r="E1118" t="s">
        <v>4012</v>
      </c>
      <c r="F1118" t="s">
        <v>55</v>
      </c>
      <c r="G1118">
        <v>2</v>
      </c>
      <c r="H1118">
        <v>531.49</v>
      </c>
      <c r="I1118" t="s">
        <v>959</v>
      </c>
      <c r="J1118" t="s">
        <v>39</v>
      </c>
      <c r="K1118" t="s">
        <v>57</v>
      </c>
      <c r="L1118" t="s">
        <v>4013</v>
      </c>
      <c r="M1118">
        <v>7</v>
      </c>
      <c r="N1118" t="s">
        <v>88</v>
      </c>
      <c r="O1118" t="s">
        <v>51</v>
      </c>
      <c r="P1118">
        <v>1062.98</v>
      </c>
      <c r="Q1118">
        <v>1062.98</v>
      </c>
      <c r="R1118" t="str">
        <f>IF(OR(P1118&lt;Outliers!$B$5, P1118&gt;Outliers!$B$6), "outliers", "")</f>
        <v/>
      </c>
    </row>
    <row r="1119" spans="1:18" x14ac:dyDescent="0.25">
      <c r="A1119" t="s">
        <v>4014</v>
      </c>
      <c r="B1119" s="1">
        <v>45432</v>
      </c>
      <c r="C1119">
        <v>2024</v>
      </c>
      <c r="D1119" t="s">
        <v>53</v>
      </c>
      <c r="E1119" t="s">
        <v>4015</v>
      </c>
      <c r="F1119" t="s">
        <v>47</v>
      </c>
      <c r="G1119">
        <v>3</v>
      </c>
      <c r="H1119">
        <v>588.44000000000005</v>
      </c>
      <c r="I1119" t="s">
        <v>1578</v>
      </c>
      <c r="J1119" t="s">
        <v>67</v>
      </c>
      <c r="K1119" t="s">
        <v>23</v>
      </c>
      <c r="L1119" t="s">
        <v>4016</v>
      </c>
      <c r="M1119">
        <v>8</v>
      </c>
      <c r="N1119" t="s">
        <v>88</v>
      </c>
      <c r="O1119" t="s">
        <v>83</v>
      </c>
      <c r="P1119">
        <v>1765.32</v>
      </c>
      <c r="Q1119">
        <v>1765.32</v>
      </c>
      <c r="R1119" t="str">
        <f>IF(OR(P1119&lt;Outliers!$B$5, P1119&gt;Outliers!$B$6), "outliers", "")</f>
        <v/>
      </c>
    </row>
    <row r="1120" spans="1:18" x14ac:dyDescent="0.25">
      <c r="A1120" t="s">
        <v>4017</v>
      </c>
      <c r="B1120" s="1">
        <v>45436</v>
      </c>
      <c r="C1120">
        <v>2024</v>
      </c>
      <c r="D1120" t="s">
        <v>53</v>
      </c>
      <c r="E1120" t="s">
        <v>4018</v>
      </c>
      <c r="F1120" t="s">
        <v>30</v>
      </c>
      <c r="G1120">
        <v>3</v>
      </c>
      <c r="H1120">
        <v>251.48</v>
      </c>
      <c r="I1120" t="s">
        <v>1549</v>
      </c>
      <c r="J1120" t="s">
        <v>39</v>
      </c>
      <c r="K1120" t="s">
        <v>49</v>
      </c>
      <c r="L1120" t="s">
        <v>4019</v>
      </c>
      <c r="M1120">
        <v>4</v>
      </c>
      <c r="O1120" t="s">
        <v>43</v>
      </c>
      <c r="P1120">
        <v>754.44</v>
      </c>
      <c r="Q1120">
        <v>754.44</v>
      </c>
      <c r="R1120" t="str">
        <f>IF(OR(P1120&lt;Outliers!$B$5, P1120&gt;Outliers!$B$6), "outliers", "")</f>
        <v/>
      </c>
    </row>
    <row r="1121" spans="1:18" x14ac:dyDescent="0.25">
      <c r="A1121" t="s">
        <v>4020</v>
      </c>
      <c r="B1121" s="1">
        <v>45620</v>
      </c>
      <c r="C1121">
        <v>2024</v>
      </c>
      <c r="D1121" t="s">
        <v>45</v>
      </c>
      <c r="E1121" t="s">
        <v>4021</v>
      </c>
      <c r="F1121" t="s">
        <v>65</v>
      </c>
      <c r="G1121">
        <v>1</v>
      </c>
      <c r="H1121">
        <v>684.65</v>
      </c>
      <c r="I1121" t="s">
        <v>1061</v>
      </c>
      <c r="J1121" t="s">
        <v>39</v>
      </c>
      <c r="K1121" t="s">
        <v>57</v>
      </c>
      <c r="L1121" t="s">
        <v>4022</v>
      </c>
      <c r="M1121">
        <v>1</v>
      </c>
      <c r="N1121" t="s">
        <v>42</v>
      </c>
      <c r="O1121" t="s">
        <v>43</v>
      </c>
      <c r="P1121">
        <v>684.65</v>
      </c>
      <c r="Q1121">
        <v>684.65</v>
      </c>
      <c r="R1121" t="str">
        <f>IF(OR(P1121&lt;Outliers!$B$5, P1121&gt;Outliers!$B$6), "outliers", "")</f>
        <v/>
      </c>
    </row>
    <row r="1122" spans="1:18" x14ac:dyDescent="0.25">
      <c r="A1122" t="s">
        <v>4023</v>
      </c>
      <c r="B1122" s="1">
        <v>45787</v>
      </c>
      <c r="C1122">
        <v>2025</v>
      </c>
      <c r="D1122" t="s">
        <v>53</v>
      </c>
      <c r="E1122" t="s">
        <v>4024</v>
      </c>
      <c r="F1122" t="s">
        <v>37</v>
      </c>
      <c r="G1122">
        <v>1</v>
      </c>
      <c r="H1122">
        <v>195.86</v>
      </c>
      <c r="I1122" t="s">
        <v>208</v>
      </c>
      <c r="J1122" t="s">
        <v>32</v>
      </c>
      <c r="K1122" t="s">
        <v>96</v>
      </c>
      <c r="L1122" t="s">
        <v>4025</v>
      </c>
      <c r="M1122">
        <v>3</v>
      </c>
      <c r="O1122" t="s">
        <v>51</v>
      </c>
      <c r="P1122">
        <v>195.86</v>
      </c>
      <c r="Q1122">
        <v>195.86</v>
      </c>
      <c r="R1122" t="str">
        <f>IF(OR(P1122&lt;Outliers!$B$5, P1122&gt;Outliers!$B$6), "outliers", "")</f>
        <v/>
      </c>
    </row>
    <row r="1123" spans="1:18" x14ac:dyDescent="0.25">
      <c r="A1123" t="s">
        <v>4026</v>
      </c>
      <c r="B1123" s="1">
        <v>45074</v>
      </c>
      <c r="C1123">
        <v>2023</v>
      </c>
      <c r="D1123" t="s">
        <v>53</v>
      </c>
      <c r="E1123" t="s">
        <v>4027</v>
      </c>
      <c r="F1123" t="s">
        <v>30</v>
      </c>
      <c r="G1123">
        <v>3</v>
      </c>
      <c r="H1123">
        <v>50.34</v>
      </c>
      <c r="I1123" t="s">
        <v>3233</v>
      </c>
      <c r="J1123" t="s">
        <v>67</v>
      </c>
      <c r="K1123" t="s">
        <v>49</v>
      </c>
      <c r="L1123" t="s">
        <v>4028</v>
      </c>
      <c r="M1123">
        <v>3</v>
      </c>
      <c r="N1123" t="s">
        <v>42</v>
      </c>
      <c r="O1123" t="s">
        <v>26</v>
      </c>
      <c r="P1123">
        <v>151.02000000000001</v>
      </c>
      <c r="Q1123">
        <v>151.02000000000001</v>
      </c>
      <c r="R1123" t="str">
        <f>IF(OR(P1123&lt;Outliers!$B$5, P1123&gt;Outliers!$B$6), "outliers", "")</f>
        <v/>
      </c>
    </row>
    <row r="1124" spans="1:18" x14ac:dyDescent="0.25">
      <c r="A1124" t="s">
        <v>4029</v>
      </c>
      <c r="B1124" s="1">
        <v>45084</v>
      </c>
      <c r="C1124">
        <v>2023</v>
      </c>
      <c r="D1124" t="s">
        <v>53</v>
      </c>
      <c r="E1124" t="s">
        <v>1072</v>
      </c>
      <c r="F1124" t="s">
        <v>20</v>
      </c>
      <c r="G1124">
        <v>5</v>
      </c>
      <c r="H1124">
        <v>678.19</v>
      </c>
      <c r="I1124" t="s">
        <v>3740</v>
      </c>
      <c r="J1124" t="s">
        <v>32</v>
      </c>
      <c r="K1124" t="s">
        <v>49</v>
      </c>
      <c r="L1124" t="s">
        <v>4030</v>
      </c>
      <c r="M1124">
        <v>8</v>
      </c>
      <c r="O1124" t="s">
        <v>51</v>
      </c>
      <c r="P1124">
        <v>3390.95</v>
      </c>
      <c r="Q1124">
        <v>3390.95</v>
      </c>
      <c r="R1124" t="str">
        <f>IF(OR(P1124&lt;Outliers!$B$5, P1124&gt;Outliers!$B$6), "outliers", "")</f>
        <v>outliers</v>
      </c>
    </row>
    <row r="1125" spans="1:18" x14ac:dyDescent="0.25">
      <c r="A1125" t="s">
        <v>4031</v>
      </c>
      <c r="B1125" s="1">
        <v>45030</v>
      </c>
      <c r="C1125">
        <v>2023</v>
      </c>
      <c r="D1125" t="s">
        <v>53</v>
      </c>
      <c r="E1125" t="s">
        <v>4032</v>
      </c>
      <c r="F1125" t="s">
        <v>37</v>
      </c>
      <c r="G1125">
        <v>3</v>
      </c>
      <c r="H1125">
        <v>554.25</v>
      </c>
      <c r="I1125" t="s">
        <v>4033</v>
      </c>
      <c r="J1125" t="s">
        <v>22</v>
      </c>
      <c r="K1125" t="s">
        <v>23</v>
      </c>
      <c r="L1125" t="s">
        <v>4034</v>
      </c>
      <c r="M1125">
        <v>6</v>
      </c>
      <c r="N1125" t="s">
        <v>88</v>
      </c>
      <c r="O1125" t="s">
        <v>34</v>
      </c>
      <c r="P1125">
        <v>1662.75</v>
      </c>
      <c r="Q1125">
        <v>1662.75</v>
      </c>
      <c r="R1125" t="str">
        <f>IF(OR(P1125&lt;Outliers!$B$5, P1125&gt;Outliers!$B$6), "outliers", "")</f>
        <v/>
      </c>
    </row>
    <row r="1126" spans="1:18" x14ac:dyDescent="0.25">
      <c r="A1126" t="s">
        <v>4035</v>
      </c>
      <c r="B1126" s="1">
        <v>45055</v>
      </c>
      <c r="C1126">
        <v>2023</v>
      </c>
      <c r="D1126" t="s">
        <v>53</v>
      </c>
      <c r="E1126" t="s">
        <v>4036</v>
      </c>
      <c r="F1126" t="s">
        <v>47</v>
      </c>
      <c r="G1126">
        <v>4</v>
      </c>
      <c r="H1126">
        <v>576.87</v>
      </c>
      <c r="I1126" t="s">
        <v>4037</v>
      </c>
      <c r="J1126" t="s">
        <v>67</v>
      </c>
      <c r="K1126" t="s">
        <v>49</v>
      </c>
      <c r="L1126" t="s">
        <v>4038</v>
      </c>
      <c r="M1126">
        <v>5</v>
      </c>
      <c r="O1126" t="s">
        <v>26</v>
      </c>
      <c r="P1126">
        <v>2307.48</v>
      </c>
      <c r="Q1126">
        <v>2307.48</v>
      </c>
      <c r="R1126" t="str">
        <f>IF(OR(P1126&lt;Outliers!$B$5, P1126&gt;Outliers!$B$6), "outliers", "")</f>
        <v/>
      </c>
    </row>
    <row r="1127" spans="1:18" x14ac:dyDescent="0.25">
      <c r="A1127" t="s">
        <v>4039</v>
      </c>
      <c r="B1127" s="1">
        <v>45215</v>
      </c>
      <c r="C1127">
        <v>2023</v>
      </c>
      <c r="D1127" t="s">
        <v>45</v>
      </c>
      <c r="E1127" t="s">
        <v>4040</v>
      </c>
      <c r="F1127" t="s">
        <v>80</v>
      </c>
      <c r="G1127">
        <v>4</v>
      </c>
      <c r="H1127">
        <v>408.36</v>
      </c>
      <c r="I1127" t="s">
        <v>3187</v>
      </c>
      <c r="J1127" t="s">
        <v>67</v>
      </c>
      <c r="K1127" t="s">
        <v>40</v>
      </c>
      <c r="L1127" t="s">
        <v>4041</v>
      </c>
      <c r="M1127">
        <v>4</v>
      </c>
      <c r="N1127" t="s">
        <v>42</v>
      </c>
      <c r="O1127" t="s">
        <v>34</v>
      </c>
      <c r="P1127">
        <v>1633.44</v>
      </c>
      <c r="Q1127">
        <v>1633.44</v>
      </c>
      <c r="R1127" t="str">
        <f>IF(OR(P1127&lt;Outliers!$B$5, P1127&gt;Outliers!$B$6), "outliers", "")</f>
        <v/>
      </c>
    </row>
    <row r="1128" spans="1:18" x14ac:dyDescent="0.25">
      <c r="A1128" t="s">
        <v>4042</v>
      </c>
      <c r="B1128" s="1">
        <v>45495</v>
      </c>
      <c r="C1128">
        <v>2024</v>
      </c>
      <c r="D1128" t="s">
        <v>28</v>
      </c>
      <c r="E1128" t="s">
        <v>4043</v>
      </c>
      <c r="F1128" t="s">
        <v>30</v>
      </c>
      <c r="G1128">
        <v>5</v>
      </c>
      <c r="H1128">
        <v>190.11</v>
      </c>
      <c r="I1128" t="s">
        <v>4044</v>
      </c>
      <c r="J1128" t="s">
        <v>72</v>
      </c>
      <c r="K1128" t="s">
        <v>57</v>
      </c>
      <c r="L1128" t="s">
        <v>4045</v>
      </c>
      <c r="M1128">
        <v>7</v>
      </c>
      <c r="N1128" t="s">
        <v>25</v>
      </c>
      <c r="O1128" t="s">
        <v>83</v>
      </c>
      <c r="P1128">
        <v>950.55</v>
      </c>
      <c r="Q1128">
        <v>950.55</v>
      </c>
      <c r="R1128" t="str">
        <f>IF(OR(P1128&lt;Outliers!$B$5, P1128&gt;Outliers!$B$6), "outliers", "")</f>
        <v/>
      </c>
    </row>
    <row r="1129" spans="1:18" x14ac:dyDescent="0.25">
      <c r="A1129" t="s">
        <v>4046</v>
      </c>
      <c r="B1129" s="1">
        <v>45731</v>
      </c>
      <c r="C1129">
        <v>2025</v>
      </c>
      <c r="D1129" t="s">
        <v>18</v>
      </c>
      <c r="E1129" t="s">
        <v>4047</v>
      </c>
      <c r="F1129" t="s">
        <v>55</v>
      </c>
      <c r="G1129">
        <v>3</v>
      </c>
      <c r="H1129">
        <v>602.75</v>
      </c>
      <c r="I1129" t="s">
        <v>3018</v>
      </c>
      <c r="J1129" t="s">
        <v>39</v>
      </c>
      <c r="K1129" t="s">
        <v>23</v>
      </c>
      <c r="L1129" t="s">
        <v>4048</v>
      </c>
      <c r="M1129">
        <v>6</v>
      </c>
      <c r="N1129" t="s">
        <v>25</v>
      </c>
      <c r="O1129" t="s">
        <v>43</v>
      </c>
      <c r="P1129">
        <v>1808.25</v>
      </c>
      <c r="Q1129">
        <v>1808.25</v>
      </c>
      <c r="R1129" t="str">
        <f>IF(OR(P1129&lt;Outliers!$B$5, P1129&gt;Outliers!$B$6), "outliers", "")</f>
        <v/>
      </c>
    </row>
    <row r="1130" spans="1:18" x14ac:dyDescent="0.25">
      <c r="A1130" t="s">
        <v>4049</v>
      </c>
      <c r="B1130" s="1">
        <v>45155</v>
      </c>
      <c r="C1130">
        <v>2023</v>
      </c>
      <c r="D1130" t="s">
        <v>28</v>
      </c>
      <c r="E1130" t="s">
        <v>4050</v>
      </c>
      <c r="F1130" t="s">
        <v>20</v>
      </c>
      <c r="G1130">
        <v>3</v>
      </c>
      <c r="H1130">
        <v>646.79</v>
      </c>
      <c r="I1130" t="s">
        <v>386</v>
      </c>
      <c r="J1130" t="s">
        <v>72</v>
      </c>
      <c r="K1130" t="s">
        <v>40</v>
      </c>
      <c r="L1130" t="s">
        <v>4051</v>
      </c>
      <c r="M1130">
        <v>5</v>
      </c>
      <c r="N1130" t="s">
        <v>88</v>
      </c>
      <c r="O1130" t="s">
        <v>83</v>
      </c>
      <c r="P1130">
        <v>1940.37</v>
      </c>
      <c r="Q1130">
        <v>1940.37</v>
      </c>
      <c r="R1130" t="str">
        <f>IF(OR(P1130&lt;Outliers!$B$5, P1130&gt;Outliers!$B$6), "outliers", "")</f>
        <v/>
      </c>
    </row>
    <row r="1131" spans="1:18" x14ac:dyDescent="0.25">
      <c r="A1131" t="s">
        <v>4052</v>
      </c>
      <c r="B1131" s="1">
        <v>45088</v>
      </c>
      <c r="C1131">
        <v>2023</v>
      </c>
      <c r="D1131" t="s">
        <v>53</v>
      </c>
      <c r="E1131" t="s">
        <v>4053</v>
      </c>
      <c r="F1131" t="s">
        <v>47</v>
      </c>
      <c r="G1131">
        <v>4</v>
      </c>
      <c r="H1131">
        <v>418.71</v>
      </c>
      <c r="I1131" t="s">
        <v>346</v>
      </c>
      <c r="J1131" t="s">
        <v>72</v>
      </c>
      <c r="K1131" t="s">
        <v>96</v>
      </c>
      <c r="L1131" t="s">
        <v>4054</v>
      </c>
      <c r="M1131">
        <v>8</v>
      </c>
      <c r="N1131" t="s">
        <v>42</v>
      </c>
      <c r="O1131" t="s">
        <v>26</v>
      </c>
      <c r="P1131">
        <v>1674.84</v>
      </c>
      <c r="Q1131">
        <v>1674.84</v>
      </c>
      <c r="R1131" t="str">
        <f>IF(OR(P1131&lt;Outliers!$B$5, P1131&gt;Outliers!$B$6), "outliers", "")</f>
        <v/>
      </c>
    </row>
    <row r="1132" spans="1:18" x14ac:dyDescent="0.25">
      <c r="A1132" t="s">
        <v>4055</v>
      </c>
      <c r="B1132" s="1">
        <v>45704</v>
      </c>
      <c r="C1132">
        <v>2025</v>
      </c>
      <c r="D1132" t="s">
        <v>18</v>
      </c>
      <c r="E1132" t="s">
        <v>4056</v>
      </c>
      <c r="F1132" t="s">
        <v>65</v>
      </c>
      <c r="G1132">
        <v>2</v>
      </c>
      <c r="H1132">
        <v>323.45</v>
      </c>
      <c r="I1132" t="s">
        <v>433</v>
      </c>
      <c r="J1132" t="s">
        <v>39</v>
      </c>
      <c r="K1132" t="s">
        <v>49</v>
      </c>
      <c r="L1132" t="s">
        <v>4057</v>
      </c>
      <c r="M1132">
        <v>5</v>
      </c>
      <c r="N1132" t="s">
        <v>42</v>
      </c>
      <c r="O1132" t="s">
        <v>26</v>
      </c>
      <c r="P1132">
        <v>646.9</v>
      </c>
      <c r="Q1132">
        <v>646.9</v>
      </c>
      <c r="R1132" t="str">
        <f>IF(OR(P1132&lt;Outliers!$B$5, P1132&gt;Outliers!$B$6), "outliers", "")</f>
        <v/>
      </c>
    </row>
    <row r="1133" spans="1:18" x14ac:dyDescent="0.25">
      <c r="A1133" t="s">
        <v>4058</v>
      </c>
      <c r="B1133" s="1">
        <v>45491</v>
      </c>
      <c r="C1133">
        <v>2024</v>
      </c>
      <c r="D1133" t="s">
        <v>28</v>
      </c>
      <c r="E1133" t="s">
        <v>4059</v>
      </c>
      <c r="F1133" t="s">
        <v>30</v>
      </c>
      <c r="G1133">
        <v>1</v>
      </c>
      <c r="H1133">
        <v>694.5</v>
      </c>
      <c r="I1133" t="s">
        <v>1132</v>
      </c>
      <c r="J1133" t="s">
        <v>39</v>
      </c>
      <c r="K1133" t="s">
        <v>96</v>
      </c>
      <c r="L1133" t="s">
        <v>4060</v>
      </c>
      <c r="M1133">
        <v>3</v>
      </c>
      <c r="N1133" t="s">
        <v>88</v>
      </c>
      <c r="O1133" t="s">
        <v>51</v>
      </c>
      <c r="P1133">
        <v>694.5</v>
      </c>
      <c r="Q1133">
        <v>694.5</v>
      </c>
      <c r="R1133" t="str">
        <f>IF(OR(P1133&lt;Outliers!$B$5, P1133&gt;Outliers!$B$6), "outliers", "")</f>
        <v/>
      </c>
    </row>
    <row r="1134" spans="1:18" x14ac:dyDescent="0.25">
      <c r="A1134" t="s">
        <v>4061</v>
      </c>
      <c r="B1134" s="1">
        <v>45628</v>
      </c>
      <c r="C1134">
        <v>2024</v>
      </c>
      <c r="D1134" t="s">
        <v>45</v>
      </c>
      <c r="E1134" t="s">
        <v>4062</v>
      </c>
      <c r="F1134" t="s">
        <v>47</v>
      </c>
      <c r="G1134">
        <v>2</v>
      </c>
      <c r="H1134">
        <v>337.32</v>
      </c>
      <c r="I1134" t="s">
        <v>936</v>
      </c>
      <c r="J1134" t="s">
        <v>39</v>
      </c>
      <c r="K1134" t="s">
        <v>40</v>
      </c>
      <c r="L1134" t="s">
        <v>4063</v>
      </c>
      <c r="M1134">
        <v>4</v>
      </c>
      <c r="N1134" t="s">
        <v>25</v>
      </c>
      <c r="O1134" t="s">
        <v>43</v>
      </c>
      <c r="P1134">
        <v>674.64</v>
      </c>
      <c r="Q1134">
        <v>674.64</v>
      </c>
      <c r="R1134" t="str">
        <f>IF(OR(P1134&lt;Outliers!$B$5, P1134&gt;Outliers!$B$6), "outliers", "")</f>
        <v/>
      </c>
    </row>
    <row r="1135" spans="1:18" x14ac:dyDescent="0.25">
      <c r="A1135" t="s">
        <v>4064</v>
      </c>
      <c r="B1135" s="1">
        <v>45391</v>
      </c>
      <c r="C1135">
        <v>2024</v>
      </c>
      <c r="D1135" t="s">
        <v>53</v>
      </c>
      <c r="E1135" t="s">
        <v>4065</v>
      </c>
      <c r="F1135" t="s">
        <v>55</v>
      </c>
      <c r="G1135">
        <v>2</v>
      </c>
      <c r="H1135">
        <v>467.91</v>
      </c>
      <c r="I1135" t="s">
        <v>880</v>
      </c>
      <c r="J1135" t="s">
        <v>67</v>
      </c>
      <c r="K1135" t="s">
        <v>49</v>
      </c>
      <c r="L1135" t="s">
        <v>4066</v>
      </c>
      <c r="M1135">
        <v>5</v>
      </c>
      <c r="N1135" t="s">
        <v>88</v>
      </c>
      <c r="O1135" t="s">
        <v>51</v>
      </c>
      <c r="P1135">
        <v>935.82</v>
      </c>
      <c r="Q1135">
        <v>935.82</v>
      </c>
      <c r="R1135" t="str">
        <f>IF(OR(P1135&lt;Outliers!$B$5, P1135&gt;Outliers!$B$6), "outliers", "")</f>
        <v/>
      </c>
    </row>
    <row r="1136" spans="1:18" x14ac:dyDescent="0.25">
      <c r="A1136" t="s">
        <v>4067</v>
      </c>
      <c r="B1136" s="1">
        <v>45451</v>
      </c>
      <c r="C1136">
        <v>2024</v>
      </c>
      <c r="D1136" t="s">
        <v>53</v>
      </c>
      <c r="E1136" t="s">
        <v>4068</v>
      </c>
      <c r="F1136" t="s">
        <v>80</v>
      </c>
      <c r="G1136">
        <v>4</v>
      </c>
      <c r="H1136">
        <v>38.28</v>
      </c>
      <c r="I1136" t="s">
        <v>4069</v>
      </c>
      <c r="J1136" t="s">
        <v>22</v>
      </c>
      <c r="K1136" t="s">
        <v>40</v>
      </c>
      <c r="L1136" t="s">
        <v>4070</v>
      </c>
      <c r="M1136">
        <v>4</v>
      </c>
      <c r="N1136" t="s">
        <v>88</v>
      </c>
      <c r="O1136" t="s">
        <v>51</v>
      </c>
      <c r="P1136">
        <v>153.12</v>
      </c>
      <c r="Q1136">
        <v>153.12</v>
      </c>
      <c r="R1136" t="str">
        <f>IF(OR(P1136&lt;Outliers!$B$5, P1136&gt;Outliers!$B$6), "outliers", "")</f>
        <v/>
      </c>
    </row>
    <row r="1137" spans="1:18" x14ac:dyDescent="0.25">
      <c r="A1137" t="s">
        <v>4071</v>
      </c>
      <c r="B1137" s="1">
        <v>45288</v>
      </c>
      <c r="C1137">
        <v>2023</v>
      </c>
      <c r="D1137" t="s">
        <v>45</v>
      </c>
      <c r="E1137" t="s">
        <v>4072</v>
      </c>
      <c r="F1137" t="s">
        <v>55</v>
      </c>
      <c r="G1137">
        <v>2</v>
      </c>
      <c r="H1137">
        <v>73.41</v>
      </c>
      <c r="I1137" t="s">
        <v>959</v>
      </c>
      <c r="J1137" t="s">
        <v>32</v>
      </c>
      <c r="K1137" t="s">
        <v>23</v>
      </c>
      <c r="L1137" t="s">
        <v>4073</v>
      </c>
      <c r="M1137">
        <v>2</v>
      </c>
      <c r="N1137" t="s">
        <v>25</v>
      </c>
      <c r="O1137" t="s">
        <v>83</v>
      </c>
      <c r="P1137">
        <v>146.82</v>
      </c>
      <c r="Q1137">
        <v>146.82</v>
      </c>
      <c r="R1137" t="str">
        <f>IF(OR(P1137&lt;Outliers!$B$5, P1137&gt;Outliers!$B$6), "outliers", "")</f>
        <v/>
      </c>
    </row>
    <row r="1138" spans="1:18" x14ac:dyDescent="0.25">
      <c r="A1138" t="s">
        <v>4074</v>
      </c>
      <c r="B1138" s="1">
        <v>45193</v>
      </c>
      <c r="C1138">
        <v>2023</v>
      </c>
      <c r="D1138" t="s">
        <v>28</v>
      </c>
      <c r="E1138" t="s">
        <v>4075</v>
      </c>
      <c r="F1138" t="s">
        <v>37</v>
      </c>
      <c r="G1138">
        <v>3</v>
      </c>
      <c r="H1138">
        <v>668.33</v>
      </c>
      <c r="I1138" t="s">
        <v>2627</v>
      </c>
      <c r="J1138" t="s">
        <v>67</v>
      </c>
      <c r="K1138" t="s">
        <v>96</v>
      </c>
      <c r="L1138" t="s">
        <v>4076</v>
      </c>
      <c r="M1138">
        <v>4</v>
      </c>
      <c r="N1138" t="s">
        <v>88</v>
      </c>
      <c r="O1138" t="s">
        <v>51</v>
      </c>
      <c r="P1138">
        <v>2004.99</v>
      </c>
      <c r="Q1138">
        <v>2004.99</v>
      </c>
      <c r="R1138" t="str">
        <f>IF(OR(P1138&lt;Outliers!$B$5, P1138&gt;Outliers!$B$6), "outliers", "")</f>
        <v/>
      </c>
    </row>
    <row r="1139" spans="1:18" x14ac:dyDescent="0.25">
      <c r="A1139" t="s">
        <v>4077</v>
      </c>
      <c r="B1139" s="1">
        <v>45502</v>
      </c>
      <c r="C1139">
        <v>2024</v>
      </c>
      <c r="D1139" t="s">
        <v>28</v>
      </c>
      <c r="E1139" t="s">
        <v>4078</v>
      </c>
      <c r="F1139" t="s">
        <v>55</v>
      </c>
      <c r="G1139">
        <v>4</v>
      </c>
      <c r="H1139">
        <v>410.21</v>
      </c>
      <c r="I1139" t="s">
        <v>4079</v>
      </c>
      <c r="J1139" t="s">
        <v>72</v>
      </c>
      <c r="K1139" t="s">
        <v>96</v>
      </c>
      <c r="L1139" t="s">
        <v>4080</v>
      </c>
      <c r="M1139">
        <v>5</v>
      </c>
      <c r="N1139" t="s">
        <v>88</v>
      </c>
      <c r="O1139" t="s">
        <v>26</v>
      </c>
      <c r="P1139">
        <v>1640.84</v>
      </c>
      <c r="Q1139">
        <v>1640.84</v>
      </c>
      <c r="R1139" t="str">
        <f>IF(OR(P1139&lt;Outliers!$B$5, P1139&gt;Outliers!$B$6), "outliers", "")</f>
        <v/>
      </c>
    </row>
    <row r="1140" spans="1:18" x14ac:dyDescent="0.25">
      <c r="A1140" t="s">
        <v>4081</v>
      </c>
      <c r="B1140" s="1">
        <v>45278</v>
      </c>
      <c r="C1140">
        <v>2023</v>
      </c>
      <c r="D1140" t="s">
        <v>45</v>
      </c>
      <c r="E1140" t="s">
        <v>4082</v>
      </c>
      <c r="F1140" t="s">
        <v>80</v>
      </c>
      <c r="G1140">
        <v>4</v>
      </c>
      <c r="H1140">
        <v>294.41000000000003</v>
      </c>
      <c r="I1140" t="s">
        <v>2493</v>
      </c>
      <c r="J1140" t="s">
        <v>22</v>
      </c>
      <c r="K1140" t="s">
        <v>96</v>
      </c>
      <c r="L1140" t="s">
        <v>4083</v>
      </c>
      <c r="M1140">
        <v>4</v>
      </c>
      <c r="O1140" t="s">
        <v>26</v>
      </c>
      <c r="P1140">
        <v>1177.6400000000001</v>
      </c>
      <c r="Q1140">
        <v>1177.6400000000001</v>
      </c>
      <c r="R1140" t="str">
        <f>IF(OR(P1140&lt;Outliers!$B$5, P1140&gt;Outliers!$B$6), "outliers", "")</f>
        <v/>
      </c>
    </row>
    <row r="1141" spans="1:18" x14ac:dyDescent="0.25">
      <c r="A1141" t="s">
        <v>4084</v>
      </c>
      <c r="B1141" s="1">
        <v>45717</v>
      </c>
      <c r="C1141">
        <v>2025</v>
      </c>
      <c r="D1141" t="s">
        <v>18</v>
      </c>
      <c r="E1141" t="s">
        <v>3796</v>
      </c>
      <c r="F1141" t="s">
        <v>47</v>
      </c>
      <c r="G1141">
        <v>3</v>
      </c>
      <c r="H1141">
        <v>501.82</v>
      </c>
      <c r="I1141" t="s">
        <v>160</v>
      </c>
      <c r="J1141" t="s">
        <v>67</v>
      </c>
      <c r="K1141" t="s">
        <v>40</v>
      </c>
      <c r="L1141" t="s">
        <v>4085</v>
      </c>
      <c r="M1141">
        <v>4</v>
      </c>
      <c r="N1141" t="s">
        <v>42</v>
      </c>
      <c r="O1141" t="s">
        <v>43</v>
      </c>
      <c r="P1141">
        <v>1505.46</v>
      </c>
      <c r="Q1141">
        <v>1505.46</v>
      </c>
      <c r="R1141" t="str">
        <f>IF(OR(P1141&lt;Outliers!$B$5, P1141&gt;Outliers!$B$6), "outliers", "")</f>
        <v/>
      </c>
    </row>
    <row r="1142" spans="1:18" x14ac:dyDescent="0.25">
      <c r="A1142" t="s">
        <v>4086</v>
      </c>
      <c r="B1142" s="1">
        <v>45467</v>
      </c>
      <c r="C1142">
        <v>2024</v>
      </c>
      <c r="D1142" t="s">
        <v>53</v>
      </c>
      <c r="E1142" t="s">
        <v>4087</v>
      </c>
      <c r="F1142" t="s">
        <v>55</v>
      </c>
      <c r="G1142">
        <v>2</v>
      </c>
      <c r="H1142">
        <v>552.83000000000004</v>
      </c>
      <c r="I1142" t="s">
        <v>76</v>
      </c>
      <c r="J1142" t="s">
        <v>39</v>
      </c>
      <c r="K1142" t="s">
        <v>40</v>
      </c>
      <c r="L1142" t="s">
        <v>4088</v>
      </c>
      <c r="M1142">
        <v>3</v>
      </c>
      <c r="O1142" t="s">
        <v>34</v>
      </c>
      <c r="P1142">
        <v>1105.6600000000001</v>
      </c>
      <c r="Q1142">
        <v>1105.6600000000001</v>
      </c>
      <c r="R1142" t="str">
        <f>IF(OR(P1142&lt;Outliers!$B$5, P1142&gt;Outliers!$B$6), "outliers", "")</f>
        <v/>
      </c>
    </row>
    <row r="1143" spans="1:18" x14ac:dyDescent="0.25">
      <c r="A1143" t="s">
        <v>4089</v>
      </c>
      <c r="B1143" s="1">
        <v>45704</v>
      </c>
      <c r="C1143">
        <v>2025</v>
      </c>
      <c r="D1143" t="s">
        <v>18</v>
      </c>
      <c r="E1143" t="s">
        <v>4090</v>
      </c>
      <c r="F1143" t="s">
        <v>47</v>
      </c>
      <c r="G1143">
        <v>3</v>
      </c>
      <c r="H1143">
        <v>498.66</v>
      </c>
      <c r="I1143" t="s">
        <v>116</v>
      </c>
      <c r="J1143" t="s">
        <v>72</v>
      </c>
      <c r="K1143" t="s">
        <v>40</v>
      </c>
      <c r="L1143" t="s">
        <v>4091</v>
      </c>
      <c r="M1143">
        <v>6</v>
      </c>
      <c r="O1143" t="s">
        <v>43</v>
      </c>
      <c r="P1143">
        <v>1495.98</v>
      </c>
      <c r="Q1143">
        <v>1495.98</v>
      </c>
      <c r="R1143" t="str">
        <f>IF(OR(P1143&lt;Outliers!$B$5, P1143&gt;Outliers!$B$6), "outliers", "")</f>
        <v/>
      </c>
    </row>
    <row r="1144" spans="1:18" x14ac:dyDescent="0.25">
      <c r="A1144" t="s">
        <v>4092</v>
      </c>
      <c r="B1144" s="1">
        <v>45527</v>
      </c>
      <c r="C1144">
        <v>2024</v>
      </c>
      <c r="D1144" t="s">
        <v>28</v>
      </c>
      <c r="E1144" t="s">
        <v>4093</v>
      </c>
      <c r="F1144" t="s">
        <v>30</v>
      </c>
      <c r="G1144">
        <v>4</v>
      </c>
      <c r="H1144">
        <v>695.1</v>
      </c>
      <c r="I1144" t="s">
        <v>4094</v>
      </c>
      <c r="J1144" t="s">
        <v>22</v>
      </c>
      <c r="K1144" t="s">
        <v>49</v>
      </c>
      <c r="L1144" t="s">
        <v>4095</v>
      </c>
      <c r="M1144">
        <v>8</v>
      </c>
      <c r="O1144" t="s">
        <v>43</v>
      </c>
      <c r="P1144">
        <v>2780.4</v>
      </c>
      <c r="Q1144">
        <v>2780.4</v>
      </c>
      <c r="R1144" t="str">
        <f>IF(OR(P1144&lt;Outliers!$B$5, P1144&gt;Outliers!$B$6), "outliers", "")</f>
        <v/>
      </c>
    </row>
    <row r="1145" spans="1:18" x14ac:dyDescent="0.25">
      <c r="A1145" t="s">
        <v>4096</v>
      </c>
      <c r="B1145" s="1">
        <v>45019</v>
      </c>
      <c r="C1145">
        <v>2023</v>
      </c>
      <c r="D1145" t="s">
        <v>53</v>
      </c>
      <c r="E1145" t="s">
        <v>4097</v>
      </c>
      <c r="F1145" t="s">
        <v>47</v>
      </c>
      <c r="G1145">
        <v>1</v>
      </c>
      <c r="H1145">
        <v>381.61</v>
      </c>
      <c r="I1145" t="s">
        <v>4098</v>
      </c>
      <c r="J1145" t="s">
        <v>22</v>
      </c>
      <c r="K1145" t="s">
        <v>96</v>
      </c>
      <c r="L1145" t="s">
        <v>4099</v>
      </c>
      <c r="M1145">
        <v>5</v>
      </c>
      <c r="O1145" t="s">
        <v>43</v>
      </c>
      <c r="P1145">
        <v>381.61</v>
      </c>
      <c r="Q1145">
        <v>381.61</v>
      </c>
      <c r="R1145" t="str">
        <f>IF(OR(P1145&lt;Outliers!$B$5, P1145&gt;Outliers!$B$6), "outliers", "")</f>
        <v/>
      </c>
    </row>
    <row r="1146" spans="1:18" x14ac:dyDescent="0.25">
      <c r="A1146" t="s">
        <v>4100</v>
      </c>
      <c r="B1146" s="1">
        <v>44973</v>
      </c>
      <c r="C1146">
        <v>2023</v>
      </c>
      <c r="D1146" t="s">
        <v>18</v>
      </c>
      <c r="E1146" t="s">
        <v>4101</v>
      </c>
      <c r="F1146" t="s">
        <v>80</v>
      </c>
      <c r="G1146">
        <v>5</v>
      </c>
      <c r="H1146">
        <v>507.94</v>
      </c>
      <c r="I1146" t="s">
        <v>4102</v>
      </c>
      <c r="J1146" t="s">
        <v>32</v>
      </c>
      <c r="K1146" t="s">
        <v>40</v>
      </c>
      <c r="L1146" t="s">
        <v>4103</v>
      </c>
      <c r="M1146">
        <v>9</v>
      </c>
      <c r="O1146" t="s">
        <v>51</v>
      </c>
      <c r="P1146">
        <v>2539.6999999999998</v>
      </c>
      <c r="Q1146">
        <v>2539.6999999999998</v>
      </c>
      <c r="R1146" t="str">
        <f>IF(OR(P1146&lt;Outliers!$B$5, P1146&gt;Outliers!$B$6), "outliers", "")</f>
        <v/>
      </c>
    </row>
    <row r="1147" spans="1:18" x14ac:dyDescent="0.25">
      <c r="A1147" t="s">
        <v>4104</v>
      </c>
      <c r="B1147" s="1">
        <v>45789</v>
      </c>
      <c r="C1147">
        <v>2025</v>
      </c>
      <c r="D1147" t="s">
        <v>53</v>
      </c>
      <c r="E1147" t="s">
        <v>4105</v>
      </c>
      <c r="F1147" t="s">
        <v>80</v>
      </c>
      <c r="G1147">
        <v>3</v>
      </c>
      <c r="H1147">
        <v>571.53</v>
      </c>
      <c r="I1147" t="s">
        <v>1022</v>
      </c>
      <c r="J1147" t="s">
        <v>22</v>
      </c>
      <c r="K1147" t="s">
        <v>57</v>
      </c>
      <c r="L1147" t="s">
        <v>4106</v>
      </c>
      <c r="M1147">
        <v>6</v>
      </c>
      <c r="N1147" t="s">
        <v>42</v>
      </c>
      <c r="O1147" t="s">
        <v>51</v>
      </c>
      <c r="P1147">
        <v>1714.59</v>
      </c>
      <c r="Q1147">
        <v>1714.59</v>
      </c>
      <c r="R1147" t="str">
        <f>IF(OR(P1147&lt;Outliers!$B$5, P1147&gt;Outliers!$B$6), "outliers", "")</f>
        <v/>
      </c>
    </row>
    <row r="1148" spans="1:18" x14ac:dyDescent="0.25">
      <c r="A1148" t="s">
        <v>4107</v>
      </c>
      <c r="B1148" s="1">
        <v>45568</v>
      </c>
      <c r="C1148">
        <v>2024</v>
      </c>
      <c r="D1148" t="s">
        <v>45</v>
      </c>
      <c r="E1148" t="s">
        <v>4108</v>
      </c>
      <c r="F1148" t="s">
        <v>20</v>
      </c>
      <c r="G1148">
        <v>5</v>
      </c>
      <c r="H1148">
        <v>421.44</v>
      </c>
      <c r="I1148" t="s">
        <v>1746</v>
      </c>
      <c r="J1148" t="s">
        <v>72</v>
      </c>
      <c r="K1148" t="s">
        <v>96</v>
      </c>
      <c r="L1148" t="s">
        <v>4109</v>
      </c>
      <c r="M1148">
        <v>5</v>
      </c>
      <c r="N1148" t="s">
        <v>25</v>
      </c>
      <c r="O1148" t="s">
        <v>26</v>
      </c>
      <c r="P1148">
        <v>2107.1999999999998</v>
      </c>
      <c r="Q1148">
        <v>2107.1999999999998</v>
      </c>
      <c r="R1148" t="str">
        <f>IF(OR(P1148&lt;Outliers!$B$5, P1148&gt;Outliers!$B$6), "outliers", "")</f>
        <v/>
      </c>
    </row>
    <row r="1149" spans="1:18" x14ac:dyDescent="0.25">
      <c r="A1149" t="s">
        <v>4110</v>
      </c>
      <c r="B1149" s="1">
        <v>45659</v>
      </c>
      <c r="C1149">
        <v>2025</v>
      </c>
      <c r="D1149" t="s">
        <v>18</v>
      </c>
      <c r="E1149" t="s">
        <v>4111</v>
      </c>
      <c r="F1149" t="s">
        <v>47</v>
      </c>
      <c r="G1149">
        <v>2</v>
      </c>
      <c r="H1149">
        <v>588.29999999999995</v>
      </c>
      <c r="I1149" t="s">
        <v>4112</v>
      </c>
      <c r="J1149" t="s">
        <v>32</v>
      </c>
      <c r="K1149" t="s">
        <v>96</v>
      </c>
      <c r="L1149" t="s">
        <v>4113</v>
      </c>
      <c r="M1149">
        <v>2</v>
      </c>
      <c r="N1149" t="s">
        <v>42</v>
      </c>
      <c r="O1149" t="s">
        <v>43</v>
      </c>
      <c r="P1149">
        <v>1176.5999999999999</v>
      </c>
      <c r="Q1149">
        <v>1176.5999999999999</v>
      </c>
      <c r="R1149" t="str">
        <f>IF(OR(P1149&lt;Outliers!$B$5, P1149&gt;Outliers!$B$6), "outliers", "")</f>
        <v/>
      </c>
    </row>
    <row r="1150" spans="1:18" x14ac:dyDescent="0.25">
      <c r="A1150" t="s">
        <v>4114</v>
      </c>
      <c r="B1150" s="1">
        <v>45468</v>
      </c>
      <c r="C1150">
        <v>2024</v>
      </c>
      <c r="D1150" t="s">
        <v>53</v>
      </c>
      <c r="E1150" t="s">
        <v>4115</v>
      </c>
      <c r="F1150" t="s">
        <v>30</v>
      </c>
      <c r="G1150">
        <v>1</v>
      </c>
      <c r="H1150">
        <v>355.15</v>
      </c>
      <c r="I1150" t="s">
        <v>4116</v>
      </c>
      <c r="J1150" t="s">
        <v>72</v>
      </c>
      <c r="K1150" t="s">
        <v>49</v>
      </c>
      <c r="L1150" t="s">
        <v>4117</v>
      </c>
      <c r="M1150">
        <v>2</v>
      </c>
      <c r="N1150" t="s">
        <v>25</v>
      </c>
      <c r="O1150" t="s">
        <v>43</v>
      </c>
      <c r="P1150">
        <v>355.15</v>
      </c>
      <c r="Q1150">
        <v>355.15</v>
      </c>
      <c r="R1150" t="str">
        <f>IF(OR(P1150&lt;Outliers!$B$5, P1150&gt;Outliers!$B$6), "outliers", "")</f>
        <v/>
      </c>
    </row>
    <row r="1151" spans="1:18" x14ac:dyDescent="0.25">
      <c r="A1151" t="s">
        <v>4118</v>
      </c>
      <c r="B1151" s="1">
        <v>45498</v>
      </c>
      <c r="C1151">
        <v>2024</v>
      </c>
      <c r="D1151" t="s">
        <v>28</v>
      </c>
      <c r="E1151" t="s">
        <v>4119</v>
      </c>
      <c r="F1151" t="s">
        <v>47</v>
      </c>
      <c r="G1151">
        <v>2</v>
      </c>
      <c r="H1151">
        <v>695.29</v>
      </c>
      <c r="I1151" t="s">
        <v>4120</v>
      </c>
      <c r="J1151" t="s">
        <v>39</v>
      </c>
      <c r="K1151" t="s">
        <v>96</v>
      </c>
      <c r="L1151" t="s">
        <v>4121</v>
      </c>
      <c r="M1151">
        <v>6</v>
      </c>
      <c r="N1151" t="s">
        <v>42</v>
      </c>
      <c r="O1151" t="s">
        <v>26</v>
      </c>
      <c r="P1151">
        <v>1390.58</v>
      </c>
      <c r="Q1151">
        <v>1390.58</v>
      </c>
      <c r="R1151" t="str">
        <f>IF(OR(P1151&lt;Outliers!$B$5, P1151&gt;Outliers!$B$6), "outliers", "")</f>
        <v/>
      </c>
    </row>
    <row r="1152" spans="1:18" x14ac:dyDescent="0.25">
      <c r="A1152" t="s">
        <v>4122</v>
      </c>
      <c r="B1152" s="1">
        <v>44977</v>
      </c>
      <c r="C1152">
        <v>2023</v>
      </c>
      <c r="D1152" t="s">
        <v>18</v>
      </c>
      <c r="E1152" t="s">
        <v>4123</v>
      </c>
      <c r="F1152" t="s">
        <v>80</v>
      </c>
      <c r="G1152">
        <v>4</v>
      </c>
      <c r="H1152">
        <v>302.64999999999998</v>
      </c>
      <c r="I1152" t="s">
        <v>1096</v>
      </c>
      <c r="J1152" t="s">
        <v>39</v>
      </c>
      <c r="K1152" t="s">
        <v>40</v>
      </c>
      <c r="L1152" t="s">
        <v>4124</v>
      </c>
      <c r="M1152">
        <v>8</v>
      </c>
      <c r="N1152" t="s">
        <v>25</v>
      </c>
      <c r="O1152" t="s">
        <v>34</v>
      </c>
      <c r="P1152">
        <v>1210.5999999999999</v>
      </c>
      <c r="Q1152">
        <v>1210.5999999999999</v>
      </c>
      <c r="R1152" t="str">
        <f>IF(OR(P1152&lt;Outliers!$B$5, P1152&gt;Outliers!$B$6), "outliers", "")</f>
        <v/>
      </c>
    </row>
    <row r="1153" spans="1:18" x14ac:dyDescent="0.25">
      <c r="A1153" t="s">
        <v>4125</v>
      </c>
      <c r="B1153" s="1">
        <v>44955</v>
      </c>
      <c r="C1153">
        <v>2023</v>
      </c>
      <c r="D1153" t="s">
        <v>18</v>
      </c>
      <c r="E1153" t="s">
        <v>4126</v>
      </c>
      <c r="F1153" t="s">
        <v>47</v>
      </c>
      <c r="G1153">
        <v>2</v>
      </c>
      <c r="H1153">
        <v>608.04</v>
      </c>
      <c r="I1153" t="s">
        <v>4127</v>
      </c>
      <c r="J1153" t="s">
        <v>72</v>
      </c>
      <c r="K1153" t="s">
        <v>40</v>
      </c>
      <c r="L1153" t="s">
        <v>4128</v>
      </c>
      <c r="M1153">
        <v>4</v>
      </c>
      <c r="O1153" t="s">
        <v>83</v>
      </c>
      <c r="P1153">
        <v>1216.08</v>
      </c>
      <c r="Q1153">
        <v>1216.08</v>
      </c>
      <c r="R1153" t="str">
        <f>IF(OR(P1153&lt;Outliers!$B$5, P1153&gt;Outliers!$B$6), "outliers", "")</f>
        <v/>
      </c>
    </row>
    <row r="1154" spans="1:18" x14ac:dyDescent="0.25">
      <c r="A1154" t="s">
        <v>4129</v>
      </c>
      <c r="B1154" s="1">
        <v>45239</v>
      </c>
      <c r="C1154">
        <v>2023</v>
      </c>
      <c r="D1154" t="s">
        <v>45</v>
      </c>
      <c r="E1154" t="s">
        <v>4130</v>
      </c>
      <c r="F1154" t="s">
        <v>37</v>
      </c>
      <c r="G1154">
        <v>2</v>
      </c>
      <c r="H1154">
        <v>344.18</v>
      </c>
      <c r="I1154" t="s">
        <v>433</v>
      </c>
      <c r="J1154" t="s">
        <v>39</v>
      </c>
      <c r="K1154" t="s">
        <v>23</v>
      </c>
      <c r="L1154" t="s">
        <v>4131</v>
      </c>
      <c r="M1154">
        <v>7</v>
      </c>
      <c r="O1154" t="s">
        <v>34</v>
      </c>
      <c r="P1154">
        <v>688.36</v>
      </c>
      <c r="Q1154">
        <v>688.36</v>
      </c>
      <c r="R1154" t="str">
        <f>IF(OR(P1154&lt;Outliers!$B$5, P1154&gt;Outliers!$B$6), "outliers", "")</f>
        <v/>
      </c>
    </row>
    <row r="1155" spans="1:18" x14ac:dyDescent="0.25">
      <c r="A1155" t="s">
        <v>4132</v>
      </c>
      <c r="B1155" s="1">
        <v>45642</v>
      </c>
      <c r="C1155">
        <v>2024</v>
      </c>
      <c r="D1155" t="s">
        <v>45</v>
      </c>
      <c r="E1155" t="s">
        <v>4133</v>
      </c>
      <c r="F1155" t="s">
        <v>20</v>
      </c>
      <c r="G1155">
        <v>4</v>
      </c>
      <c r="H1155">
        <v>696.71</v>
      </c>
      <c r="I1155" t="s">
        <v>4134</v>
      </c>
      <c r="J1155" t="s">
        <v>22</v>
      </c>
      <c r="K1155" t="s">
        <v>23</v>
      </c>
      <c r="L1155" t="s">
        <v>4135</v>
      </c>
      <c r="M1155">
        <v>4</v>
      </c>
      <c r="O1155" t="s">
        <v>26</v>
      </c>
      <c r="P1155">
        <v>2786.84</v>
      </c>
      <c r="Q1155">
        <v>2786.84</v>
      </c>
      <c r="R1155" t="str">
        <f>IF(OR(P1155&lt;Outliers!$B$5, P1155&gt;Outliers!$B$6), "outliers", "")</f>
        <v/>
      </c>
    </row>
    <row r="1156" spans="1:18" x14ac:dyDescent="0.25">
      <c r="A1156" t="s">
        <v>4136</v>
      </c>
      <c r="B1156" s="1">
        <v>45819</v>
      </c>
      <c r="C1156">
        <v>2025</v>
      </c>
      <c r="D1156" t="s">
        <v>53</v>
      </c>
      <c r="E1156" t="s">
        <v>4137</v>
      </c>
      <c r="F1156" t="s">
        <v>20</v>
      </c>
      <c r="G1156">
        <v>3</v>
      </c>
      <c r="H1156">
        <v>198.63</v>
      </c>
      <c r="I1156" t="s">
        <v>509</v>
      </c>
      <c r="J1156" t="s">
        <v>72</v>
      </c>
      <c r="K1156" t="s">
        <v>96</v>
      </c>
      <c r="L1156" t="s">
        <v>4138</v>
      </c>
      <c r="M1156">
        <v>8</v>
      </c>
      <c r="N1156" t="s">
        <v>25</v>
      </c>
      <c r="O1156" t="s">
        <v>26</v>
      </c>
      <c r="P1156">
        <v>595.89</v>
      </c>
      <c r="Q1156">
        <v>595.89</v>
      </c>
      <c r="R1156" t="str">
        <f>IF(OR(P1156&lt;Outliers!$B$5, P1156&gt;Outliers!$B$6), "outliers", "")</f>
        <v/>
      </c>
    </row>
    <row r="1157" spans="1:18" x14ac:dyDescent="0.25">
      <c r="A1157" t="s">
        <v>4139</v>
      </c>
      <c r="B1157" s="1">
        <v>45151</v>
      </c>
      <c r="C1157">
        <v>2023</v>
      </c>
      <c r="D1157" t="s">
        <v>28</v>
      </c>
      <c r="E1157" t="s">
        <v>4140</v>
      </c>
      <c r="F1157" t="s">
        <v>55</v>
      </c>
      <c r="G1157">
        <v>4</v>
      </c>
      <c r="H1157">
        <v>534.57000000000005</v>
      </c>
      <c r="I1157" t="s">
        <v>688</v>
      </c>
      <c r="J1157" t="s">
        <v>39</v>
      </c>
      <c r="K1157" t="s">
        <v>57</v>
      </c>
      <c r="L1157" t="s">
        <v>4141</v>
      </c>
      <c r="M1157">
        <v>6</v>
      </c>
      <c r="N1157" t="s">
        <v>42</v>
      </c>
      <c r="O1157" t="s">
        <v>51</v>
      </c>
      <c r="P1157">
        <v>2138.2800000000002</v>
      </c>
      <c r="Q1157">
        <v>2138.2800000000002</v>
      </c>
      <c r="R1157" t="str">
        <f>IF(OR(P1157&lt;Outliers!$B$5, P1157&gt;Outliers!$B$6), "outliers", "")</f>
        <v/>
      </c>
    </row>
    <row r="1158" spans="1:18" x14ac:dyDescent="0.25">
      <c r="A1158" t="s">
        <v>4142</v>
      </c>
      <c r="B1158" s="1">
        <v>45126</v>
      </c>
      <c r="C1158">
        <v>2023</v>
      </c>
      <c r="D1158" t="s">
        <v>28</v>
      </c>
      <c r="E1158" t="s">
        <v>4143</v>
      </c>
      <c r="F1158" t="s">
        <v>65</v>
      </c>
      <c r="G1158">
        <v>4</v>
      </c>
      <c r="H1158">
        <v>690.78</v>
      </c>
      <c r="I1158" t="s">
        <v>104</v>
      </c>
      <c r="J1158" t="s">
        <v>39</v>
      </c>
      <c r="K1158" t="s">
        <v>23</v>
      </c>
      <c r="L1158" t="s">
        <v>4144</v>
      </c>
      <c r="M1158">
        <v>9</v>
      </c>
      <c r="O1158" t="s">
        <v>34</v>
      </c>
      <c r="P1158">
        <v>2763.12</v>
      </c>
      <c r="Q1158">
        <v>2763.12</v>
      </c>
      <c r="R1158" t="str">
        <f>IF(OR(P1158&lt;Outliers!$B$5, P1158&gt;Outliers!$B$6), "outliers", "")</f>
        <v/>
      </c>
    </row>
    <row r="1159" spans="1:18" x14ac:dyDescent="0.25">
      <c r="A1159" t="s">
        <v>4145</v>
      </c>
      <c r="B1159" s="1">
        <v>45441</v>
      </c>
      <c r="C1159">
        <v>2024</v>
      </c>
      <c r="D1159" t="s">
        <v>53</v>
      </c>
      <c r="E1159" t="s">
        <v>4146</v>
      </c>
      <c r="F1159" t="s">
        <v>20</v>
      </c>
      <c r="G1159">
        <v>3</v>
      </c>
      <c r="H1159">
        <v>301.55</v>
      </c>
      <c r="I1159" t="s">
        <v>921</v>
      </c>
      <c r="J1159" t="s">
        <v>22</v>
      </c>
      <c r="K1159" t="s">
        <v>57</v>
      </c>
      <c r="L1159" t="s">
        <v>4147</v>
      </c>
      <c r="M1159">
        <v>5</v>
      </c>
      <c r="N1159" t="s">
        <v>42</v>
      </c>
      <c r="O1159" t="s">
        <v>83</v>
      </c>
      <c r="P1159">
        <v>904.65</v>
      </c>
      <c r="Q1159">
        <v>904.65</v>
      </c>
      <c r="R1159" t="str">
        <f>IF(OR(P1159&lt;Outliers!$B$5, P1159&gt;Outliers!$B$6), "outliers", "")</f>
        <v/>
      </c>
    </row>
    <row r="1160" spans="1:18" x14ac:dyDescent="0.25">
      <c r="A1160" t="s">
        <v>4148</v>
      </c>
      <c r="B1160" s="1">
        <v>45036</v>
      </c>
      <c r="C1160">
        <v>2023</v>
      </c>
      <c r="D1160" t="s">
        <v>53</v>
      </c>
      <c r="E1160" t="s">
        <v>4149</v>
      </c>
      <c r="F1160" t="s">
        <v>20</v>
      </c>
      <c r="G1160">
        <v>4</v>
      </c>
      <c r="H1160">
        <v>27.42</v>
      </c>
      <c r="I1160" t="s">
        <v>1719</v>
      </c>
      <c r="J1160" t="s">
        <v>22</v>
      </c>
      <c r="K1160" t="s">
        <v>96</v>
      </c>
      <c r="L1160" t="s">
        <v>4150</v>
      </c>
      <c r="M1160">
        <v>4</v>
      </c>
      <c r="N1160" t="s">
        <v>25</v>
      </c>
      <c r="O1160" t="s">
        <v>34</v>
      </c>
      <c r="P1160">
        <v>109.68</v>
      </c>
      <c r="Q1160">
        <v>109.68</v>
      </c>
      <c r="R1160" t="str">
        <f>IF(OR(P1160&lt;Outliers!$B$5, P1160&gt;Outliers!$B$6), "outliers", "")</f>
        <v/>
      </c>
    </row>
    <row r="1161" spans="1:18" x14ac:dyDescent="0.25">
      <c r="A1161" t="s">
        <v>4151</v>
      </c>
      <c r="B1161" s="1">
        <v>45345</v>
      </c>
      <c r="C1161">
        <v>2024</v>
      </c>
      <c r="D1161" t="s">
        <v>18</v>
      </c>
      <c r="E1161" t="s">
        <v>4152</v>
      </c>
      <c r="F1161" t="s">
        <v>80</v>
      </c>
      <c r="G1161">
        <v>4</v>
      </c>
      <c r="H1161">
        <v>466.7</v>
      </c>
      <c r="I1161" t="s">
        <v>1769</v>
      </c>
      <c r="J1161" t="s">
        <v>22</v>
      </c>
      <c r="K1161" t="s">
        <v>49</v>
      </c>
      <c r="L1161" t="s">
        <v>4153</v>
      </c>
      <c r="M1161">
        <v>8</v>
      </c>
      <c r="O1161" t="s">
        <v>26</v>
      </c>
      <c r="P1161">
        <v>1866.8</v>
      </c>
      <c r="Q1161">
        <v>1866.8</v>
      </c>
      <c r="R1161" t="str">
        <f>IF(OR(P1161&lt;Outliers!$B$5, P1161&gt;Outliers!$B$6), "outliers", "")</f>
        <v/>
      </c>
    </row>
    <row r="1162" spans="1:18" x14ac:dyDescent="0.25">
      <c r="A1162" t="s">
        <v>4154</v>
      </c>
      <c r="B1162" s="1">
        <v>45539</v>
      </c>
      <c r="C1162">
        <v>2024</v>
      </c>
      <c r="D1162" t="s">
        <v>28</v>
      </c>
      <c r="E1162" t="s">
        <v>4155</v>
      </c>
      <c r="F1162" t="s">
        <v>80</v>
      </c>
      <c r="G1162">
        <v>1</v>
      </c>
      <c r="H1162">
        <v>541.64</v>
      </c>
      <c r="I1162" t="s">
        <v>1834</v>
      </c>
      <c r="J1162" t="s">
        <v>22</v>
      </c>
      <c r="K1162" t="s">
        <v>23</v>
      </c>
      <c r="L1162" t="s">
        <v>4156</v>
      </c>
      <c r="M1162">
        <v>5</v>
      </c>
      <c r="N1162" t="s">
        <v>25</v>
      </c>
      <c r="O1162" t="s">
        <v>43</v>
      </c>
      <c r="P1162">
        <v>541.64</v>
      </c>
      <c r="Q1162">
        <v>541.64</v>
      </c>
      <c r="R1162" t="str">
        <f>IF(OR(P1162&lt;Outliers!$B$5, P1162&gt;Outliers!$B$6), "outliers", "")</f>
        <v/>
      </c>
    </row>
    <row r="1163" spans="1:18" x14ac:dyDescent="0.25">
      <c r="A1163" t="s">
        <v>4157</v>
      </c>
      <c r="B1163" s="1">
        <v>45215</v>
      </c>
      <c r="C1163">
        <v>2023</v>
      </c>
      <c r="D1163" t="s">
        <v>45</v>
      </c>
      <c r="E1163" t="s">
        <v>4158</v>
      </c>
      <c r="F1163" t="s">
        <v>30</v>
      </c>
      <c r="G1163">
        <v>1</v>
      </c>
      <c r="H1163">
        <v>11.39</v>
      </c>
      <c r="I1163" t="s">
        <v>1351</v>
      </c>
      <c r="J1163" t="s">
        <v>72</v>
      </c>
      <c r="K1163" t="s">
        <v>40</v>
      </c>
      <c r="L1163" t="s">
        <v>4159</v>
      </c>
      <c r="M1163">
        <v>6</v>
      </c>
      <c r="N1163" t="s">
        <v>88</v>
      </c>
      <c r="O1163" t="s">
        <v>43</v>
      </c>
      <c r="P1163">
        <v>11.39</v>
      </c>
      <c r="Q1163">
        <v>11.39</v>
      </c>
      <c r="R1163" t="str">
        <f>IF(OR(P1163&lt;Outliers!$B$5, P1163&gt;Outliers!$B$6), "outliers", "")</f>
        <v/>
      </c>
    </row>
    <row r="1164" spans="1:18" x14ac:dyDescent="0.25">
      <c r="A1164" t="s">
        <v>4160</v>
      </c>
      <c r="B1164" s="1">
        <v>45727</v>
      </c>
      <c r="C1164">
        <v>2025</v>
      </c>
      <c r="D1164" t="s">
        <v>18</v>
      </c>
      <c r="E1164" t="s">
        <v>4161</v>
      </c>
      <c r="F1164" t="s">
        <v>30</v>
      </c>
      <c r="G1164">
        <v>2</v>
      </c>
      <c r="H1164">
        <v>224.37</v>
      </c>
      <c r="I1164" t="s">
        <v>4162</v>
      </c>
      <c r="J1164" t="s">
        <v>22</v>
      </c>
      <c r="K1164" t="s">
        <v>57</v>
      </c>
      <c r="L1164" t="s">
        <v>4163</v>
      </c>
      <c r="M1164">
        <v>3</v>
      </c>
      <c r="N1164" t="s">
        <v>88</v>
      </c>
      <c r="O1164" t="s">
        <v>34</v>
      </c>
      <c r="P1164">
        <v>448.74</v>
      </c>
      <c r="Q1164">
        <v>448.74</v>
      </c>
      <c r="R1164" t="str">
        <f>IF(OR(P1164&lt;Outliers!$B$5, P1164&gt;Outliers!$B$6), "outliers", "")</f>
        <v/>
      </c>
    </row>
    <row r="1165" spans="1:18" x14ac:dyDescent="0.25">
      <c r="A1165" t="s">
        <v>4164</v>
      </c>
      <c r="B1165" s="1">
        <v>45454</v>
      </c>
      <c r="C1165">
        <v>2024</v>
      </c>
      <c r="D1165" t="s">
        <v>53</v>
      </c>
      <c r="E1165" t="s">
        <v>4165</v>
      </c>
      <c r="F1165" t="s">
        <v>65</v>
      </c>
      <c r="G1165">
        <v>3</v>
      </c>
      <c r="H1165">
        <v>306.29000000000002</v>
      </c>
      <c r="I1165" t="s">
        <v>4166</v>
      </c>
      <c r="J1165" t="s">
        <v>39</v>
      </c>
      <c r="K1165" t="s">
        <v>49</v>
      </c>
      <c r="L1165" t="s">
        <v>4167</v>
      </c>
      <c r="M1165">
        <v>7</v>
      </c>
      <c r="N1165" t="s">
        <v>88</v>
      </c>
      <c r="O1165" t="s">
        <v>26</v>
      </c>
      <c r="P1165">
        <v>918.87</v>
      </c>
      <c r="Q1165">
        <v>918.87</v>
      </c>
      <c r="R1165" t="str">
        <f>IF(OR(P1165&lt;Outliers!$B$5, P1165&gt;Outliers!$B$6), "outliers", "")</f>
        <v/>
      </c>
    </row>
    <row r="1166" spans="1:18" x14ac:dyDescent="0.25">
      <c r="A1166" t="s">
        <v>4168</v>
      </c>
      <c r="B1166" s="1">
        <v>45299</v>
      </c>
      <c r="C1166">
        <v>2024</v>
      </c>
      <c r="D1166" t="s">
        <v>18</v>
      </c>
      <c r="E1166" t="s">
        <v>4169</v>
      </c>
      <c r="F1166" t="s">
        <v>37</v>
      </c>
      <c r="G1166">
        <v>5</v>
      </c>
      <c r="H1166">
        <v>315.57</v>
      </c>
      <c r="I1166" t="s">
        <v>2204</v>
      </c>
      <c r="J1166" t="s">
        <v>22</v>
      </c>
      <c r="K1166" t="s">
        <v>57</v>
      </c>
      <c r="L1166" t="s">
        <v>4170</v>
      </c>
      <c r="M1166">
        <v>6</v>
      </c>
      <c r="N1166" t="s">
        <v>88</v>
      </c>
      <c r="O1166" t="s">
        <v>43</v>
      </c>
      <c r="P1166">
        <v>1577.85</v>
      </c>
      <c r="Q1166">
        <v>1577.85</v>
      </c>
      <c r="R1166" t="str">
        <f>IF(OR(P1166&lt;Outliers!$B$5, P1166&gt;Outliers!$B$6), "outliers", "")</f>
        <v/>
      </c>
    </row>
    <row r="1167" spans="1:18" x14ac:dyDescent="0.25">
      <c r="A1167" t="s">
        <v>4171</v>
      </c>
      <c r="B1167" s="1">
        <v>45121</v>
      </c>
      <c r="C1167">
        <v>2023</v>
      </c>
      <c r="D1167" t="s">
        <v>28</v>
      </c>
      <c r="E1167" t="s">
        <v>4172</v>
      </c>
      <c r="F1167" t="s">
        <v>47</v>
      </c>
      <c r="G1167">
        <v>3</v>
      </c>
      <c r="H1167">
        <v>223.79</v>
      </c>
      <c r="I1167" t="s">
        <v>4173</v>
      </c>
      <c r="J1167" t="s">
        <v>22</v>
      </c>
      <c r="K1167" t="s">
        <v>96</v>
      </c>
      <c r="L1167" t="s">
        <v>4174</v>
      </c>
      <c r="M1167">
        <v>3</v>
      </c>
      <c r="O1167" t="s">
        <v>83</v>
      </c>
      <c r="P1167">
        <v>671.37</v>
      </c>
      <c r="Q1167">
        <v>671.37</v>
      </c>
      <c r="R1167" t="str">
        <f>IF(OR(P1167&lt;Outliers!$B$5, P1167&gt;Outliers!$B$6), "outliers", "")</f>
        <v/>
      </c>
    </row>
    <row r="1168" spans="1:18" x14ac:dyDescent="0.25">
      <c r="A1168" t="s">
        <v>4175</v>
      </c>
      <c r="B1168" s="1">
        <v>45138</v>
      </c>
      <c r="C1168">
        <v>2023</v>
      </c>
      <c r="D1168" t="s">
        <v>28</v>
      </c>
      <c r="E1168" t="s">
        <v>4176</v>
      </c>
      <c r="F1168" t="s">
        <v>47</v>
      </c>
      <c r="G1168">
        <v>3</v>
      </c>
      <c r="H1168">
        <v>324.47000000000003</v>
      </c>
      <c r="I1168" t="s">
        <v>370</v>
      </c>
      <c r="J1168" t="s">
        <v>72</v>
      </c>
      <c r="K1168" t="s">
        <v>57</v>
      </c>
      <c r="L1168" t="s">
        <v>4177</v>
      </c>
      <c r="M1168">
        <v>4</v>
      </c>
      <c r="N1168" t="s">
        <v>88</v>
      </c>
      <c r="O1168" t="s">
        <v>43</v>
      </c>
      <c r="P1168">
        <v>973.41</v>
      </c>
      <c r="Q1168">
        <v>973.41</v>
      </c>
      <c r="R1168" t="str">
        <f>IF(OR(P1168&lt;Outliers!$B$5, P1168&gt;Outliers!$B$6), "outliers", "")</f>
        <v/>
      </c>
    </row>
    <row r="1169" spans="1:18" x14ac:dyDescent="0.25">
      <c r="A1169" t="s">
        <v>4178</v>
      </c>
      <c r="B1169" s="1">
        <v>45216</v>
      </c>
      <c r="C1169">
        <v>2023</v>
      </c>
      <c r="D1169" t="s">
        <v>45</v>
      </c>
      <c r="E1169" t="s">
        <v>4179</v>
      </c>
      <c r="F1169" t="s">
        <v>55</v>
      </c>
      <c r="G1169">
        <v>2</v>
      </c>
      <c r="H1169">
        <v>92.87</v>
      </c>
      <c r="I1169" t="s">
        <v>1108</v>
      </c>
      <c r="J1169" t="s">
        <v>39</v>
      </c>
      <c r="K1169" t="s">
        <v>96</v>
      </c>
      <c r="L1169" t="s">
        <v>4180</v>
      </c>
      <c r="M1169">
        <v>5</v>
      </c>
      <c r="N1169" t="s">
        <v>42</v>
      </c>
      <c r="O1169" t="s">
        <v>51</v>
      </c>
      <c r="P1169">
        <v>185.74</v>
      </c>
      <c r="Q1169">
        <v>185.74</v>
      </c>
      <c r="R1169" t="str">
        <f>IF(OR(P1169&lt;Outliers!$B$5, P1169&gt;Outliers!$B$6), "outliers", "")</f>
        <v/>
      </c>
    </row>
    <row r="1170" spans="1:18" x14ac:dyDescent="0.25">
      <c r="A1170" t="s">
        <v>4181</v>
      </c>
      <c r="B1170" s="1">
        <v>45024</v>
      </c>
      <c r="C1170">
        <v>2023</v>
      </c>
      <c r="D1170" t="s">
        <v>53</v>
      </c>
      <c r="E1170" t="s">
        <v>4182</v>
      </c>
      <c r="F1170" t="s">
        <v>65</v>
      </c>
      <c r="G1170">
        <v>2</v>
      </c>
      <c r="H1170">
        <v>331.42</v>
      </c>
      <c r="I1170" t="s">
        <v>4183</v>
      </c>
      <c r="J1170" t="s">
        <v>39</v>
      </c>
      <c r="K1170" t="s">
        <v>57</v>
      </c>
      <c r="L1170" t="s">
        <v>4184</v>
      </c>
      <c r="M1170">
        <v>6</v>
      </c>
      <c r="N1170" t="s">
        <v>88</v>
      </c>
      <c r="O1170" t="s">
        <v>83</v>
      </c>
      <c r="P1170">
        <v>662.84</v>
      </c>
      <c r="Q1170">
        <v>662.84</v>
      </c>
      <c r="R1170" t="str">
        <f>IF(OR(P1170&lt;Outliers!$B$5, P1170&gt;Outliers!$B$6), "outliers", "")</f>
        <v/>
      </c>
    </row>
    <row r="1171" spans="1:18" x14ac:dyDescent="0.25">
      <c r="A1171" t="s">
        <v>4185</v>
      </c>
      <c r="B1171" s="1">
        <v>45649</v>
      </c>
      <c r="C1171">
        <v>2024</v>
      </c>
      <c r="D1171" t="s">
        <v>45</v>
      </c>
      <c r="E1171" t="s">
        <v>4186</v>
      </c>
      <c r="F1171" t="s">
        <v>47</v>
      </c>
      <c r="G1171">
        <v>1</v>
      </c>
      <c r="H1171">
        <v>525.42999999999995</v>
      </c>
      <c r="I1171" t="s">
        <v>4187</v>
      </c>
      <c r="J1171" t="s">
        <v>72</v>
      </c>
      <c r="K1171" t="s">
        <v>40</v>
      </c>
      <c r="L1171" t="s">
        <v>4188</v>
      </c>
      <c r="M1171">
        <v>2</v>
      </c>
      <c r="N1171" t="s">
        <v>25</v>
      </c>
      <c r="O1171" t="s">
        <v>26</v>
      </c>
      <c r="P1171">
        <v>525.42999999999995</v>
      </c>
      <c r="Q1171">
        <v>525.42999999999995</v>
      </c>
      <c r="R1171" t="str">
        <f>IF(OR(P1171&lt;Outliers!$B$5, P1171&gt;Outliers!$B$6), "outliers", "")</f>
        <v/>
      </c>
    </row>
    <row r="1172" spans="1:18" x14ac:dyDescent="0.25">
      <c r="A1172" t="s">
        <v>4189</v>
      </c>
      <c r="B1172" s="1">
        <v>45141</v>
      </c>
      <c r="C1172">
        <v>2023</v>
      </c>
      <c r="D1172" t="s">
        <v>28</v>
      </c>
      <c r="E1172" t="s">
        <v>4190</v>
      </c>
      <c r="F1172" t="s">
        <v>55</v>
      </c>
      <c r="G1172">
        <v>2</v>
      </c>
      <c r="H1172">
        <v>697.19</v>
      </c>
      <c r="I1172" t="s">
        <v>932</v>
      </c>
      <c r="J1172" t="s">
        <v>72</v>
      </c>
      <c r="K1172" t="s">
        <v>49</v>
      </c>
      <c r="L1172" t="s">
        <v>4191</v>
      </c>
      <c r="M1172">
        <v>7</v>
      </c>
      <c r="N1172" t="s">
        <v>42</v>
      </c>
      <c r="O1172" t="s">
        <v>43</v>
      </c>
      <c r="P1172">
        <v>1394.38</v>
      </c>
      <c r="Q1172">
        <v>1394.38</v>
      </c>
      <c r="R1172" t="str">
        <f>IF(OR(P1172&lt;Outliers!$B$5, P1172&gt;Outliers!$B$6), "outliers", "")</f>
        <v/>
      </c>
    </row>
    <row r="1173" spans="1:18" x14ac:dyDescent="0.25">
      <c r="A1173" t="s">
        <v>4192</v>
      </c>
      <c r="B1173" s="1">
        <v>45166</v>
      </c>
      <c r="C1173">
        <v>2023</v>
      </c>
      <c r="D1173" t="s">
        <v>28</v>
      </c>
      <c r="E1173" t="s">
        <v>4193</v>
      </c>
      <c r="F1173" t="s">
        <v>30</v>
      </c>
      <c r="G1173">
        <v>4</v>
      </c>
      <c r="H1173">
        <v>518.4</v>
      </c>
      <c r="I1173" t="s">
        <v>4194</v>
      </c>
      <c r="J1173" t="s">
        <v>39</v>
      </c>
      <c r="K1173" t="s">
        <v>57</v>
      </c>
      <c r="L1173" t="s">
        <v>4195</v>
      </c>
      <c r="M1173">
        <v>7</v>
      </c>
      <c r="N1173" t="s">
        <v>25</v>
      </c>
      <c r="O1173" t="s">
        <v>51</v>
      </c>
      <c r="P1173">
        <v>2073.6</v>
      </c>
      <c r="Q1173">
        <v>2073.6</v>
      </c>
      <c r="R1173" t="str">
        <f>IF(OR(P1173&lt;Outliers!$B$5, P1173&gt;Outliers!$B$6), "outliers", "")</f>
        <v/>
      </c>
    </row>
    <row r="1174" spans="1:18" x14ac:dyDescent="0.25">
      <c r="A1174" t="s">
        <v>4196</v>
      </c>
      <c r="B1174" s="1">
        <v>45692</v>
      </c>
      <c r="C1174">
        <v>2025</v>
      </c>
      <c r="D1174" t="s">
        <v>18</v>
      </c>
      <c r="E1174" t="s">
        <v>4197</v>
      </c>
      <c r="F1174" t="s">
        <v>80</v>
      </c>
      <c r="G1174">
        <v>3</v>
      </c>
      <c r="H1174">
        <v>131.96</v>
      </c>
      <c r="I1174" t="s">
        <v>1937</v>
      </c>
      <c r="J1174" t="s">
        <v>39</v>
      </c>
      <c r="K1174" t="s">
        <v>96</v>
      </c>
      <c r="L1174" t="s">
        <v>4198</v>
      </c>
      <c r="M1174">
        <v>8</v>
      </c>
      <c r="O1174" t="s">
        <v>26</v>
      </c>
      <c r="P1174">
        <v>395.88</v>
      </c>
      <c r="Q1174">
        <v>395.88</v>
      </c>
      <c r="R1174" t="str">
        <f>IF(OR(P1174&lt;Outliers!$B$5, P1174&gt;Outliers!$B$6), "outliers", "")</f>
        <v/>
      </c>
    </row>
    <row r="1175" spans="1:18" x14ac:dyDescent="0.25">
      <c r="A1175" t="s">
        <v>4199</v>
      </c>
      <c r="B1175" s="1">
        <v>45569</v>
      </c>
      <c r="C1175">
        <v>2024</v>
      </c>
      <c r="D1175" t="s">
        <v>45</v>
      </c>
      <c r="E1175" t="s">
        <v>4200</v>
      </c>
      <c r="F1175" t="s">
        <v>20</v>
      </c>
      <c r="G1175">
        <v>1</v>
      </c>
      <c r="H1175">
        <v>208.36</v>
      </c>
      <c r="I1175" t="s">
        <v>2683</v>
      </c>
      <c r="J1175" t="s">
        <v>32</v>
      </c>
      <c r="K1175" t="s">
        <v>23</v>
      </c>
      <c r="L1175" t="s">
        <v>4201</v>
      </c>
      <c r="M1175">
        <v>4</v>
      </c>
      <c r="N1175" t="s">
        <v>42</v>
      </c>
      <c r="O1175" t="s">
        <v>43</v>
      </c>
      <c r="P1175">
        <v>208.36</v>
      </c>
      <c r="Q1175">
        <v>208.36</v>
      </c>
      <c r="R1175" t="str">
        <f>IF(OR(P1175&lt;Outliers!$B$5, P1175&gt;Outliers!$B$6), "outliers", "")</f>
        <v/>
      </c>
    </row>
    <row r="1176" spans="1:18" x14ac:dyDescent="0.25">
      <c r="A1176" t="s">
        <v>4202</v>
      </c>
      <c r="B1176" s="1">
        <v>45257</v>
      </c>
      <c r="C1176">
        <v>2023</v>
      </c>
      <c r="D1176" t="s">
        <v>45</v>
      </c>
      <c r="E1176" t="s">
        <v>4203</v>
      </c>
      <c r="F1176" t="s">
        <v>55</v>
      </c>
      <c r="G1176">
        <v>3</v>
      </c>
      <c r="H1176">
        <v>222.34</v>
      </c>
      <c r="I1176" t="s">
        <v>4204</v>
      </c>
      <c r="J1176" t="s">
        <v>39</v>
      </c>
      <c r="K1176" t="s">
        <v>49</v>
      </c>
      <c r="L1176" t="s">
        <v>4205</v>
      </c>
      <c r="M1176">
        <v>5</v>
      </c>
      <c r="N1176" t="s">
        <v>88</v>
      </c>
      <c r="O1176" t="s">
        <v>43</v>
      </c>
      <c r="P1176">
        <v>667.02</v>
      </c>
      <c r="Q1176">
        <v>667.02</v>
      </c>
      <c r="R1176" t="str">
        <f>IF(OR(P1176&lt;Outliers!$B$5, P1176&gt;Outliers!$B$6), "outliers", "")</f>
        <v/>
      </c>
    </row>
    <row r="1177" spans="1:18" x14ac:dyDescent="0.25">
      <c r="A1177" t="s">
        <v>4206</v>
      </c>
      <c r="B1177" s="1">
        <v>45545</v>
      </c>
      <c r="C1177">
        <v>2024</v>
      </c>
      <c r="D1177" t="s">
        <v>28</v>
      </c>
      <c r="E1177" t="s">
        <v>4207</v>
      </c>
      <c r="F1177" t="s">
        <v>55</v>
      </c>
      <c r="G1177">
        <v>3</v>
      </c>
      <c r="H1177">
        <v>91.74</v>
      </c>
      <c r="I1177" t="s">
        <v>1213</v>
      </c>
      <c r="J1177" t="s">
        <v>22</v>
      </c>
      <c r="K1177" t="s">
        <v>49</v>
      </c>
      <c r="L1177" t="s">
        <v>4208</v>
      </c>
      <c r="M1177">
        <v>8</v>
      </c>
      <c r="N1177" t="s">
        <v>42</v>
      </c>
      <c r="O1177" t="s">
        <v>34</v>
      </c>
      <c r="P1177">
        <v>275.22000000000003</v>
      </c>
      <c r="Q1177">
        <v>275.22000000000003</v>
      </c>
      <c r="R1177" t="str">
        <f>IF(OR(P1177&lt;Outliers!$B$5, P1177&gt;Outliers!$B$6), "outliers", "")</f>
        <v/>
      </c>
    </row>
    <row r="1178" spans="1:18" x14ac:dyDescent="0.25">
      <c r="A1178" t="s">
        <v>4209</v>
      </c>
      <c r="B1178" s="1">
        <v>45151</v>
      </c>
      <c r="C1178">
        <v>2023</v>
      </c>
      <c r="D1178" t="s">
        <v>28</v>
      </c>
      <c r="E1178" t="s">
        <v>4210</v>
      </c>
      <c r="F1178" t="s">
        <v>37</v>
      </c>
      <c r="G1178">
        <v>2</v>
      </c>
      <c r="H1178">
        <v>213.83</v>
      </c>
      <c r="I1178" t="s">
        <v>4211</v>
      </c>
      <c r="J1178" t="s">
        <v>22</v>
      </c>
      <c r="K1178" t="s">
        <v>40</v>
      </c>
      <c r="L1178" t="s">
        <v>4212</v>
      </c>
      <c r="M1178">
        <v>2</v>
      </c>
      <c r="N1178" t="s">
        <v>88</v>
      </c>
      <c r="O1178" t="s">
        <v>43</v>
      </c>
      <c r="P1178">
        <v>427.66</v>
      </c>
      <c r="Q1178">
        <v>427.66</v>
      </c>
      <c r="R1178" t="str">
        <f>IF(OR(P1178&lt;Outliers!$B$5, P1178&gt;Outliers!$B$6), "outliers", "")</f>
        <v/>
      </c>
    </row>
    <row r="1179" spans="1:18" x14ac:dyDescent="0.25">
      <c r="A1179" t="s">
        <v>4213</v>
      </c>
      <c r="B1179" s="1">
        <v>45043</v>
      </c>
      <c r="C1179">
        <v>2023</v>
      </c>
      <c r="D1179" t="s">
        <v>53</v>
      </c>
      <c r="E1179" t="s">
        <v>4214</v>
      </c>
      <c r="F1179" t="s">
        <v>55</v>
      </c>
      <c r="G1179">
        <v>1</v>
      </c>
      <c r="H1179">
        <v>127.55</v>
      </c>
      <c r="I1179" t="s">
        <v>1677</v>
      </c>
      <c r="J1179" t="s">
        <v>72</v>
      </c>
      <c r="K1179" t="s">
        <v>23</v>
      </c>
      <c r="L1179" t="s">
        <v>4215</v>
      </c>
      <c r="M1179">
        <v>3</v>
      </c>
      <c r="N1179" t="s">
        <v>25</v>
      </c>
      <c r="O1179" t="s">
        <v>34</v>
      </c>
      <c r="P1179">
        <v>127.55</v>
      </c>
      <c r="Q1179">
        <v>127.55</v>
      </c>
      <c r="R1179" t="str">
        <f>IF(OR(P1179&lt;Outliers!$B$5, P1179&gt;Outliers!$B$6), "outliers", "")</f>
        <v/>
      </c>
    </row>
    <row r="1180" spans="1:18" x14ac:dyDescent="0.25">
      <c r="A1180" t="s">
        <v>4216</v>
      </c>
      <c r="B1180" s="1">
        <v>45543</v>
      </c>
      <c r="C1180">
        <v>2024</v>
      </c>
      <c r="D1180" t="s">
        <v>28</v>
      </c>
      <c r="E1180" t="s">
        <v>4217</v>
      </c>
      <c r="F1180" t="s">
        <v>20</v>
      </c>
      <c r="G1180">
        <v>1</v>
      </c>
      <c r="H1180">
        <v>70.239999999999995</v>
      </c>
      <c r="I1180" t="s">
        <v>971</v>
      </c>
      <c r="J1180" t="s">
        <v>39</v>
      </c>
      <c r="K1180" t="s">
        <v>40</v>
      </c>
      <c r="L1180" t="s">
        <v>4218</v>
      </c>
      <c r="M1180">
        <v>4</v>
      </c>
      <c r="N1180" t="s">
        <v>42</v>
      </c>
      <c r="O1180" t="s">
        <v>83</v>
      </c>
      <c r="P1180">
        <v>70.239999999999995</v>
      </c>
      <c r="Q1180">
        <v>70.239999999999995</v>
      </c>
      <c r="R1180" t="str">
        <f>IF(OR(P1180&lt;Outliers!$B$5, P1180&gt;Outliers!$B$6), "outliers", "")</f>
        <v/>
      </c>
    </row>
    <row r="1181" spans="1:18" x14ac:dyDescent="0.25">
      <c r="A1181" t="s">
        <v>4219</v>
      </c>
      <c r="B1181" s="1">
        <v>44934</v>
      </c>
      <c r="C1181">
        <v>2023</v>
      </c>
      <c r="D1181" t="s">
        <v>18</v>
      </c>
      <c r="E1181" t="s">
        <v>4220</v>
      </c>
      <c r="F1181" t="s">
        <v>65</v>
      </c>
      <c r="G1181">
        <v>5</v>
      </c>
      <c r="H1181">
        <v>518.54999999999995</v>
      </c>
      <c r="I1181" t="s">
        <v>1415</v>
      </c>
      <c r="J1181" t="s">
        <v>39</v>
      </c>
      <c r="K1181" t="s">
        <v>40</v>
      </c>
      <c r="L1181" t="s">
        <v>4221</v>
      </c>
      <c r="M1181">
        <v>6</v>
      </c>
      <c r="N1181" t="s">
        <v>88</v>
      </c>
      <c r="O1181" t="s">
        <v>26</v>
      </c>
      <c r="P1181">
        <v>2592.75</v>
      </c>
      <c r="Q1181">
        <v>2592.75</v>
      </c>
      <c r="R1181" t="str">
        <f>IF(OR(P1181&lt;Outliers!$B$5, P1181&gt;Outliers!$B$6), "outliers", "")</f>
        <v/>
      </c>
    </row>
    <row r="1182" spans="1:18" x14ac:dyDescent="0.25">
      <c r="A1182" t="s">
        <v>4222</v>
      </c>
      <c r="B1182" s="1">
        <v>45230</v>
      </c>
      <c r="C1182">
        <v>2023</v>
      </c>
      <c r="D1182" t="s">
        <v>45</v>
      </c>
      <c r="E1182" t="s">
        <v>4223</v>
      </c>
      <c r="F1182" t="s">
        <v>47</v>
      </c>
      <c r="G1182">
        <v>4</v>
      </c>
      <c r="H1182">
        <v>298.36</v>
      </c>
      <c r="I1182" t="s">
        <v>2036</v>
      </c>
      <c r="J1182" t="s">
        <v>22</v>
      </c>
      <c r="K1182" t="s">
        <v>96</v>
      </c>
      <c r="L1182" t="s">
        <v>4224</v>
      </c>
      <c r="M1182">
        <v>8</v>
      </c>
      <c r="N1182" t="s">
        <v>42</v>
      </c>
      <c r="O1182" t="s">
        <v>83</v>
      </c>
      <c r="P1182">
        <v>1193.44</v>
      </c>
      <c r="Q1182">
        <v>1193.44</v>
      </c>
      <c r="R1182" t="str">
        <f>IF(OR(P1182&lt;Outliers!$B$5, P1182&gt;Outliers!$B$6), "outliers", "")</f>
        <v/>
      </c>
    </row>
    <row r="1183" spans="1:18" x14ac:dyDescent="0.25">
      <c r="A1183" t="s">
        <v>4225</v>
      </c>
      <c r="B1183" s="1">
        <v>45134</v>
      </c>
      <c r="C1183">
        <v>2023</v>
      </c>
      <c r="D1183" t="s">
        <v>28</v>
      </c>
      <c r="E1183" t="s">
        <v>4226</v>
      </c>
      <c r="F1183" t="s">
        <v>80</v>
      </c>
      <c r="G1183">
        <v>3</v>
      </c>
      <c r="H1183">
        <v>158.74</v>
      </c>
      <c r="I1183" t="s">
        <v>1355</v>
      </c>
      <c r="J1183" t="s">
        <v>32</v>
      </c>
      <c r="K1183" t="s">
        <v>96</v>
      </c>
      <c r="L1183" t="s">
        <v>4227</v>
      </c>
      <c r="M1183">
        <v>7</v>
      </c>
      <c r="N1183" t="s">
        <v>42</v>
      </c>
      <c r="O1183" t="s">
        <v>26</v>
      </c>
      <c r="P1183">
        <v>476.22</v>
      </c>
      <c r="Q1183">
        <v>476.22</v>
      </c>
      <c r="R1183" t="str">
        <f>IF(OR(P1183&lt;Outliers!$B$5, P1183&gt;Outliers!$B$6), "outliers", "")</f>
        <v/>
      </c>
    </row>
    <row r="1184" spans="1:18" x14ac:dyDescent="0.25">
      <c r="A1184" t="s">
        <v>4228</v>
      </c>
      <c r="B1184" s="1">
        <v>45822</v>
      </c>
      <c r="C1184">
        <v>2025</v>
      </c>
      <c r="D1184" t="s">
        <v>53</v>
      </c>
      <c r="E1184" t="s">
        <v>4229</v>
      </c>
      <c r="F1184" t="s">
        <v>47</v>
      </c>
      <c r="G1184">
        <v>2</v>
      </c>
      <c r="H1184">
        <v>420.29</v>
      </c>
      <c r="I1184" t="s">
        <v>2264</v>
      </c>
      <c r="J1184" t="s">
        <v>67</v>
      </c>
      <c r="K1184" t="s">
        <v>49</v>
      </c>
      <c r="L1184" t="s">
        <v>4230</v>
      </c>
      <c r="M1184">
        <v>3</v>
      </c>
      <c r="N1184" t="s">
        <v>25</v>
      </c>
      <c r="O1184" t="s">
        <v>83</v>
      </c>
      <c r="P1184">
        <v>840.58</v>
      </c>
      <c r="Q1184">
        <v>840.58</v>
      </c>
      <c r="R1184" t="str">
        <f>IF(OR(P1184&lt;Outliers!$B$5, P1184&gt;Outliers!$B$6), "outliers", "")</f>
        <v/>
      </c>
    </row>
    <row r="1185" spans="1:18" x14ac:dyDescent="0.25">
      <c r="A1185" t="s">
        <v>4231</v>
      </c>
      <c r="B1185" s="1">
        <v>45021</v>
      </c>
      <c r="C1185">
        <v>2023</v>
      </c>
      <c r="D1185" t="s">
        <v>53</v>
      </c>
      <c r="E1185" t="s">
        <v>4232</v>
      </c>
      <c r="F1185" t="s">
        <v>80</v>
      </c>
      <c r="G1185">
        <v>1</v>
      </c>
      <c r="H1185">
        <v>281.52</v>
      </c>
      <c r="I1185" t="s">
        <v>1054</v>
      </c>
      <c r="J1185" t="s">
        <v>67</v>
      </c>
      <c r="K1185" t="s">
        <v>23</v>
      </c>
      <c r="L1185" t="s">
        <v>4233</v>
      </c>
      <c r="M1185">
        <v>6</v>
      </c>
      <c r="N1185" t="s">
        <v>88</v>
      </c>
      <c r="O1185" t="s">
        <v>34</v>
      </c>
      <c r="P1185">
        <v>281.52</v>
      </c>
      <c r="Q1185">
        <v>281.52</v>
      </c>
      <c r="R1185" t="str">
        <f>IF(OR(P1185&lt;Outliers!$B$5, P1185&gt;Outliers!$B$6), "outliers", "")</f>
        <v/>
      </c>
    </row>
    <row r="1186" spans="1:18" x14ac:dyDescent="0.25">
      <c r="A1186" t="s">
        <v>4234</v>
      </c>
      <c r="B1186" s="1">
        <v>45196</v>
      </c>
      <c r="C1186">
        <v>2023</v>
      </c>
      <c r="D1186" t="s">
        <v>28</v>
      </c>
      <c r="E1186" t="s">
        <v>4235</v>
      </c>
      <c r="F1186" t="s">
        <v>65</v>
      </c>
      <c r="G1186">
        <v>1</v>
      </c>
      <c r="H1186">
        <v>204.08</v>
      </c>
      <c r="I1186" t="s">
        <v>3014</v>
      </c>
      <c r="J1186" t="s">
        <v>67</v>
      </c>
      <c r="K1186" t="s">
        <v>49</v>
      </c>
      <c r="L1186" t="s">
        <v>4236</v>
      </c>
      <c r="M1186">
        <v>4</v>
      </c>
      <c r="O1186" t="s">
        <v>83</v>
      </c>
      <c r="P1186">
        <v>204.08</v>
      </c>
      <c r="Q1186">
        <v>204.08</v>
      </c>
      <c r="R1186" t="str">
        <f>IF(OR(P1186&lt;Outliers!$B$5, P1186&gt;Outliers!$B$6), "outliers", "")</f>
        <v/>
      </c>
    </row>
    <row r="1187" spans="1:18" x14ac:dyDescent="0.25">
      <c r="A1187" t="s">
        <v>4237</v>
      </c>
      <c r="B1187" s="1">
        <v>45481</v>
      </c>
      <c r="C1187">
        <v>2024</v>
      </c>
      <c r="D1187" t="s">
        <v>28</v>
      </c>
      <c r="E1187" t="s">
        <v>4238</v>
      </c>
      <c r="F1187" t="s">
        <v>47</v>
      </c>
      <c r="G1187">
        <v>1</v>
      </c>
      <c r="H1187">
        <v>343.31</v>
      </c>
      <c r="I1187" t="s">
        <v>4239</v>
      </c>
      <c r="J1187" t="s">
        <v>67</v>
      </c>
      <c r="K1187" t="s">
        <v>49</v>
      </c>
      <c r="L1187" t="s">
        <v>4240</v>
      </c>
      <c r="M1187">
        <v>6</v>
      </c>
      <c r="N1187" t="s">
        <v>25</v>
      </c>
      <c r="O1187" t="s">
        <v>83</v>
      </c>
      <c r="P1187">
        <v>343.31</v>
      </c>
      <c r="Q1187">
        <v>343.31</v>
      </c>
      <c r="R1187" t="str">
        <f>IF(OR(P1187&lt;Outliers!$B$5, P1187&gt;Outliers!$B$6), "outliers", "")</f>
        <v/>
      </c>
    </row>
    <row r="1188" spans="1:18" x14ac:dyDescent="0.25">
      <c r="A1188" t="s">
        <v>4241</v>
      </c>
      <c r="B1188" s="1">
        <v>45248</v>
      </c>
      <c r="C1188">
        <v>2023</v>
      </c>
      <c r="D1188" t="s">
        <v>45</v>
      </c>
      <c r="E1188" t="s">
        <v>4242</v>
      </c>
      <c r="F1188" t="s">
        <v>20</v>
      </c>
      <c r="G1188">
        <v>1</v>
      </c>
      <c r="H1188">
        <v>163.32</v>
      </c>
      <c r="I1188" t="s">
        <v>4243</v>
      </c>
      <c r="J1188" t="s">
        <v>72</v>
      </c>
      <c r="K1188" t="s">
        <v>23</v>
      </c>
      <c r="L1188" t="s">
        <v>4244</v>
      </c>
      <c r="M1188">
        <v>6</v>
      </c>
      <c r="N1188" t="s">
        <v>88</v>
      </c>
      <c r="O1188" t="s">
        <v>51</v>
      </c>
      <c r="P1188">
        <v>163.32</v>
      </c>
      <c r="Q1188">
        <v>163.32</v>
      </c>
      <c r="R1188" t="str">
        <f>IF(OR(P1188&lt;Outliers!$B$5, P1188&gt;Outliers!$B$6), "outliers", "")</f>
        <v/>
      </c>
    </row>
    <row r="1189" spans="1:18" x14ac:dyDescent="0.25">
      <c r="A1189" t="s">
        <v>4245</v>
      </c>
      <c r="B1189" s="1">
        <v>45364</v>
      </c>
      <c r="C1189">
        <v>2024</v>
      </c>
      <c r="D1189" t="s">
        <v>18</v>
      </c>
      <c r="E1189" t="s">
        <v>4246</v>
      </c>
      <c r="F1189" t="s">
        <v>80</v>
      </c>
      <c r="G1189">
        <v>2</v>
      </c>
      <c r="H1189">
        <v>184.6</v>
      </c>
      <c r="I1189" t="s">
        <v>959</v>
      </c>
      <c r="J1189" t="s">
        <v>67</v>
      </c>
      <c r="K1189" t="s">
        <v>57</v>
      </c>
      <c r="L1189" t="s">
        <v>4247</v>
      </c>
      <c r="M1189">
        <v>7</v>
      </c>
      <c r="N1189" t="s">
        <v>88</v>
      </c>
      <c r="O1189" t="s">
        <v>43</v>
      </c>
      <c r="P1189">
        <v>369.2</v>
      </c>
      <c r="Q1189">
        <v>369.2</v>
      </c>
      <c r="R1189" t="str">
        <f>IF(OR(P1189&lt;Outliers!$B$5, P1189&gt;Outliers!$B$6), "outliers", "")</f>
        <v/>
      </c>
    </row>
    <row r="1190" spans="1:18" x14ac:dyDescent="0.25">
      <c r="A1190" t="s">
        <v>4248</v>
      </c>
      <c r="B1190" s="1">
        <v>45206</v>
      </c>
      <c r="C1190">
        <v>2023</v>
      </c>
      <c r="D1190" t="s">
        <v>45</v>
      </c>
      <c r="E1190" t="s">
        <v>4249</v>
      </c>
      <c r="F1190" t="s">
        <v>55</v>
      </c>
      <c r="G1190">
        <v>2</v>
      </c>
      <c r="H1190">
        <v>371.29</v>
      </c>
      <c r="I1190" t="s">
        <v>4250</v>
      </c>
      <c r="J1190" t="s">
        <v>67</v>
      </c>
      <c r="K1190" t="s">
        <v>23</v>
      </c>
      <c r="L1190" t="s">
        <v>4251</v>
      </c>
      <c r="M1190">
        <v>5</v>
      </c>
      <c r="N1190" t="s">
        <v>88</v>
      </c>
      <c r="O1190" t="s">
        <v>51</v>
      </c>
      <c r="P1190">
        <v>742.58</v>
      </c>
      <c r="Q1190">
        <v>742.58</v>
      </c>
      <c r="R1190" t="str">
        <f>IF(OR(P1190&lt;Outliers!$B$5, P1190&gt;Outliers!$B$6), "outliers", "")</f>
        <v/>
      </c>
    </row>
    <row r="1191" spans="1:18" x14ac:dyDescent="0.25">
      <c r="A1191" t="s">
        <v>4252</v>
      </c>
      <c r="B1191" s="1">
        <v>45521</v>
      </c>
      <c r="C1191">
        <v>2024</v>
      </c>
      <c r="D1191" t="s">
        <v>28</v>
      </c>
      <c r="E1191" t="s">
        <v>4253</v>
      </c>
      <c r="F1191" t="s">
        <v>37</v>
      </c>
      <c r="G1191">
        <v>5</v>
      </c>
      <c r="H1191">
        <v>389.22</v>
      </c>
      <c r="I1191" t="s">
        <v>4254</v>
      </c>
      <c r="J1191" t="s">
        <v>72</v>
      </c>
      <c r="K1191" t="s">
        <v>40</v>
      </c>
      <c r="L1191" t="s">
        <v>4255</v>
      </c>
      <c r="M1191">
        <v>7</v>
      </c>
      <c r="O1191" t="s">
        <v>34</v>
      </c>
      <c r="P1191">
        <v>1946.1</v>
      </c>
      <c r="Q1191">
        <v>1946.1</v>
      </c>
      <c r="R1191" t="str">
        <f>IF(OR(P1191&lt;Outliers!$B$5, P1191&gt;Outliers!$B$6), "outliers", "")</f>
        <v/>
      </c>
    </row>
    <row r="1192" spans="1:18" x14ac:dyDescent="0.25">
      <c r="A1192" t="s">
        <v>4256</v>
      </c>
      <c r="B1192" s="1">
        <v>45816</v>
      </c>
      <c r="C1192">
        <v>2025</v>
      </c>
      <c r="D1192" t="s">
        <v>53</v>
      </c>
      <c r="E1192" t="s">
        <v>4257</v>
      </c>
      <c r="F1192" t="s">
        <v>80</v>
      </c>
      <c r="G1192">
        <v>3</v>
      </c>
      <c r="H1192">
        <v>616.39</v>
      </c>
      <c r="I1192" t="s">
        <v>4258</v>
      </c>
      <c r="J1192" t="s">
        <v>39</v>
      </c>
      <c r="K1192" t="s">
        <v>23</v>
      </c>
      <c r="L1192" t="s">
        <v>4259</v>
      </c>
      <c r="M1192">
        <v>6</v>
      </c>
      <c r="N1192" t="s">
        <v>42</v>
      </c>
      <c r="O1192" t="s">
        <v>26</v>
      </c>
      <c r="P1192">
        <v>1849.17</v>
      </c>
      <c r="Q1192">
        <v>1849.17</v>
      </c>
      <c r="R1192" t="str">
        <f>IF(OR(P1192&lt;Outliers!$B$5, P1192&gt;Outliers!$B$6), "outliers", "")</f>
        <v/>
      </c>
    </row>
    <row r="1193" spans="1:18" x14ac:dyDescent="0.25">
      <c r="A1193" t="s">
        <v>4260</v>
      </c>
      <c r="B1193" s="1">
        <v>45698</v>
      </c>
      <c r="C1193">
        <v>2025</v>
      </c>
      <c r="D1193" t="s">
        <v>18</v>
      </c>
      <c r="E1193" t="s">
        <v>4261</v>
      </c>
      <c r="F1193" t="s">
        <v>80</v>
      </c>
      <c r="G1193">
        <v>4</v>
      </c>
      <c r="H1193">
        <v>376.43</v>
      </c>
      <c r="I1193" t="s">
        <v>2305</v>
      </c>
      <c r="J1193" t="s">
        <v>67</v>
      </c>
      <c r="K1193" t="s">
        <v>96</v>
      </c>
      <c r="L1193" t="s">
        <v>4262</v>
      </c>
      <c r="M1193">
        <v>5</v>
      </c>
      <c r="N1193" t="s">
        <v>88</v>
      </c>
      <c r="O1193" t="s">
        <v>26</v>
      </c>
      <c r="P1193">
        <v>1505.72</v>
      </c>
      <c r="Q1193">
        <v>1505.72</v>
      </c>
      <c r="R1193" t="str">
        <f>IF(OR(P1193&lt;Outliers!$B$5, P1193&gt;Outliers!$B$6), "outliers", "")</f>
        <v/>
      </c>
    </row>
    <row r="1194" spans="1:18" x14ac:dyDescent="0.25">
      <c r="A1194" t="s">
        <v>4263</v>
      </c>
      <c r="B1194" s="1">
        <v>45350</v>
      </c>
      <c r="C1194">
        <v>2024</v>
      </c>
      <c r="D1194" t="s">
        <v>18</v>
      </c>
      <c r="E1194" t="s">
        <v>4264</v>
      </c>
      <c r="F1194" t="s">
        <v>47</v>
      </c>
      <c r="G1194">
        <v>3</v>
      </c>
      <c r="H1194">
        <v>432.85</v>
      </c>
      <c r="I1194" t="s">
        <v>852</v>
      </c>
      <c r="J1194" t="s">
        <v>32</v>
      </c>
      <c r="K1194" t="s">
        <v>96</v>
      </c>
      <c r="L1194" t="s">
        <v>4265</v>
      </c>
      <c r="M1194">
        <v>4</v>
      </c>
      <c r="O1194" t="s">
        <v>26</v>
      </c>
      <c r="P1194">
        <v>1298.55</v>
      </c>
      <c r="Q1194">
        <v>1298.55</v>
      </c>
      <c r="R1194" t="str">
        <f>IF(OR(P1194&lt;Outliers!$B$5, P1194&gt;Outliers!$B$6), "outliers", "")</f>
        <v/>
      </c>
    </row>
    <row r="1195" spans="1:18" x14ac:dyDescent="0.25">
      <c r="A1195" t="s">
        <v>4266</v>
      </c>
      <c r="B1195" s="1">
        <v>45824</v>
      </c>
      <c r="C1195">
        <v>2025</v>
      </c>
      <c r="D1195" t="s">
        <v>53</v>
      </c>
      <c r="E1195" t="s">
        <v>4267</v>
      </c>
      <c r="F1195" t="s">
        <v>37</v>
      </c>
      <c r="G1195">
        <v>1</v>
      </c>
      <c r="H1195">
        <v>687.89</v>
      </c>
      <c r="I1195" t="s">
        <v>350</v>
      </c>
      <c r="J1195" t="s">
        <v>72</v>
      </c>
      <c r="K1195" t="s">
        <v>49</v>
      </c>
      <c r="L1195" t="s">
        <v>4268</v>
      </c>
      <c r="M1195">
        <v>1</v>
      </c>
      <c r="N1195" t="s">
        <v>42</v>
      </c>
      <c r="O1195" t="s">
        <v>43</v>
      </c>
      <c r="P1195">
        <v>687.89</v>
      </c>
      <c r="Q1195">
        <v>687.89</v>
      </c>
      <c r="R1195" t="str">
        <f>IF(OR(P1195&lt;Outliers!$B$5, P1195&gt;Outliers!$B$6), "outliers", "")</f>
        <v/>
      </c>
    </row>
    <row r="1196" spans="1:18" x14ac:dyDescent="0.25">
      <c r="A1196" t="s">
        <v>4269</v>
      </c>
      <c r="B1196" s="1">
        <v>45249</v>
      </c>
      <c r="C1196">
        <v>2023</v>
      </c>
      <c r="D1196" t="s">
        <v>45</v>
      </c>
      <c r="E1196" t="s">
        <v>4270</v>
      </c>
      <c r="F1196" t="s">
        <v>55</v>
      </c>
      <c r="G1196">
        <v>3</v>
      </c>
      <c r="H1196">
        <v>189.44</v>
      </c>
      <c r="I1196" t="s">
        <v>790</v>
      </c>
      <c r="J1196" t="s">
        <v>72</v>
      </c>
      <c r="K1196" t="s">
        <v>96</v>
      </c>
      <c r="L1196" t="s">
        <v>4271</v>
      </c>
      <c r="M1196">
        <v>4</v>
      </c>
      <c r="N1196" t="s">
        <v>42</v>
      </c>
      <c r="O1196" t="s">
        <v>43</v>
      </c>
      <c r="P1196">
        <v>568.32000000000005</v>
      </c>
      <c r="Q1196">
        <v>568.32000000000005</v>
      </c>
      <c r="R1196" t="str">
        <f>IF(OR(P1196&lt;Outliers!$B$5, P1196&gt;Outliers!$B$6), "outliers", "")</f>
        <v/>
      </c>
    </row>
    <row r="1197" spans="1:18" x14ac:dyDescent="0.25">
      <c r="A1197" t="s">
        <v>4272</v>
      </c>
      <c r="B1197" s="1">
        <v>45463</v>
      </c>
      <c r="C1197">
        <v>2024</v>
      </c>
      <c r="D1197" t="s">
        <v>53</v>
      </c>
      <c r="E1197" t="s">
        <v>4273</v>
      </c>
      <c r="F1197" t="s">
        <v>80</v>
      </c>
      <c r="G1197">
        <v>1</v>
      </c>
      <c r="H1197">
        <v>107.04</v>
      </c>
      <c r="I1197" t="s">
        <v>4274</v>
      </c>
      <c r="J1197" t="s">
        <v>39</v>
      </c>
      <c r="K1197" t="s">
        <v>40</v>
      </c>
      <c r="L1197" t="s">
        <v>4275</v>
      </c>
      <c r="M1197">
        <v>6</v>
      </c>
      <c r="N1197" t="s">
        <v>42</v>
      </c>
      <c r="O1197" t="s">
        <v>83</v>
      </c>
      <c r="P1197">
        <v>107.04</v>
      </c>
      <c r="Q1197">
        <v>107.04</v>
      </c>
      <c r="R1197" t="str">
        <f>IF(OR(P1197&lt;Outliers!$B$5, P1197&gt;Outliers!$B$6), "outliers", "")</f>
        <v/>
      </c>
    </row>
    <row r="1198" spans="1:18" x14ac:dyDescent="0.25">
      <c r="A1198" t="s">
        <v>4276</v>
      </c>
      <c r="B1198" s="1">
        <v>45355</v>
      </c>
      <c r="C1198">
        <v>2024</v>
      </c>
      <c r="D1198" t="s">
        <v>18</v>
      </c>
      <c r="E1198" t="s">
        <v>4277</v>
      </c>
      <c r="F1198" t="s">
        <v>20</v>
      </c>
      <c r="G1198">
        <v>2</v>
      </c>
      <c r="H1198">
        <v>662.53</v>
      </c>
      <c r="I1198" t="s">
        <v>1556</v>
      </c>
      <c r="J1198" t="s">
        <v>32</v>
      </c>
      <c r="K1198" t="s">
        <v>40</v>
      </c>
      <c r="L1198" t="s">
        <v>4278</v>
      </c>
      <c r="M1198">
        <v>5</v>
      </c>
      <c r="O1198" t="s">
        <v>51</v>
      </c>
      <c r="P1198">
        <v>1325.06</v>
      </c>
      <c r="Q1198">
        <v>1325.06</v>
      </c>
      <c r="R1198" t="str">
        <f>IF(OR(P1198&lt;Outliers!$B$5, P1198&gt;Outliers!$B$6), "outliers", "")</f>
        <v/>
      </c>
    </row>
    <row r="1199" spans="1:18" x14ac:dyDescent="0.25">
      <c r="A1199" t="s">
        <v>4279</v>
      </c>
      <c r="B1199" s="1">
        <v>45120</v>
      </c>
      <c r="C1199">
        <v>2023</v>
      </c>
      <c r="D1199" t="s">
        <v>28</v>
      </c>
      <c r="E1199" t="s">
        <v>4280</v>
      </c>
      <c r="F1199" t="s">
        <v>37</v>
      </c>
      <c r="G1199">
        <v>2</v>
      </c>
      <c r="H1199">
        <v>436.84</v>
      </c>
      <c r="I1199" t="s">
        <v>48</v>
      </c>
      <c r="J1199" t="s">
        <v>32</v>
      </c>
      <c r="K1199" t="s">
        <v>57</v>
      </c>
      <c r="L1199" t="s">
        <v>4281</v>
      </c>
      <c r="M1199">
        <v>2</v>
      </c>
      <c r="N1199" t="s">
        <v>42</v>
      </c>
      <c r="O1199" t="s">
        <v>26</v>
      </c>
      <c r="P1199">
        <v>873.68</v>
      </c>
      <c r="Q1199">
        <v>873.68</v>
      </c>
      <c r="R1199" t="str">
        <f>IF(OR(P1199&lt;Outliers!$B$5, P1199&gt;Outliers!$B$6), "outliers", "")</f>
        <v/>
      </c>
    </row>
    <row r="1200" spans="1:18" x14ac:dyDescent="0.25">
      <c r="A1200" t="s">
        <v>4282</v>
      </c>
      <c r="B1200" s="1">
        <v>45526</v>
      </c>
      <c r="C1200">
        <v>2024</v>
      </c>
      <c r="D1200" t="s">
        <v>28</v>
      </c>
      <c r="E1200" t="s">
        <v>4283</v>
      </c>
      <c r="F1200" t="s">
        <v>47</v>
      </c>
      <c r="G1200">
        <v>4</v>
      </c>
      <c r="H1200">
        <v>262.52</v>
      </c>
      <c r="I1200" t="s">
        <v>4284</v>
      </c>
      <c r="J1200" t="s">
        <v>22</v>
      </c>
      <c r="K1200" t="s">
        <v>40</v>
      </c>
      <c r="L1200" t="s">
        <v>4285</v>
      </c>
      <c r="M1200">
        <v>4</v>
      </c>
      <c r="N1200" t="s">
        <v>88</v>
      </c>
      <c r="O1200" t="s">
        <v>26</v>
      </c>
      <c r="P1200">
        <v>1050.08</v>
      </c>
      <c r="Q1200">
        <v>1050.08</v>
      </c>
      <c r="R1200" t="str">
        <f>IF(OR(P1200&lt;Outliers!$B$5, P1200&gt;Outliers!$B$6), "outliers", "")</f>
        <v/>
      </c>
    </row>
    <row r="1201" spans="1:18" x14ac:dyDescent="0.25">
      <c r="A1201" t="s">
        <v>4286</v>
      </c>
      <c r="B1201" s="1">
        <v>45088</v>
      </c>
      <c r="C1201">
        <v>2023</v>
      </c>
      <c r="D1201" t="s">
        <v>53</v>
      </c>
      <c r="E1201" t="s">
        <v>4287</v>
      </c>
      <c r="F1201" t="s">
        <v>37</v>
      </c>
      <c r="G1201">
        <v>4</v>
      </c>
      <c r="H1201">
        <v>560.58000000000004</v>
      </c>
      <c r="I1201" t="s">
        <v>4288</v>
      </c>
      <c r="J1201" t="s">
        <v>67</v>
      </c>
      <c r="K1201" t="s">
        <v>49</v>
      </c>
      <c r="L1201" t="s">
        <v>4289</v>
      </c>
      <c r="M1201">
        <v>6</v>
      </c>
      <c r="N1201" t="s">
        <v>25</v>
      </c>
      <c r="O1201" t="s">
        <v>34</v>
      </c>
      <c r="P1201">
        <v>2242.3200000000002</v>
      </c>
      <c r="Q1201">
        <v>2242.3200000000002</v>
      </c>
      <c r="R1201" t="str">
        <f>IF(OR(P1201&lt;Outliers!$B$5, P1201&gt;Outliers!$B$6), "outliers", "")</f>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J9" sqref="J9"/>
    </sheetView>
  </sheetViews>
  <sheetFormatPr defaultRowHeight="15" x14ac:dyDescent="0.25"/>
  <cols>
    <col min="1" max="1" width="15.7109375" customWidth="1"/>
    <col min="2" max="2" width="14.140625" style="2" customWidth="1"/>
    <col min="3" max="3" width="11.5703125" style="2" customWidth="1"/>
    <col min="4" max="4" width="11" style="2" customWidth="1"/>
    <col min="5" max="5" width="11.140625" customWidth="1"/>
    <col min="6" max="6" width="11.42578125" customWidth="1"/>
  </cols>
  <sheetData>
    <row r="1" spans="1:6" x14ac:dyDescent="0.25">
      <c r="A1" t="s">
        <v>4290</v>
      </c>
      <c r="B1" s="2" t="s">
        <v>4291</v>
      </c>
      <c r="C1" s="2" t="s">
        <v>4292</v>
      </c>
      <c r="D1" s="2" t="s">
        <v>4293</v>
      </c>
      <c r="E1" t="s">
        <v>4294</v>
      </c>
      <c r="F1" t="s">
        <v>4295</v>
      </c>
    </row>
    <row r="2" spans="1:6" x14ac:dyDescent="0.25">
      <c r="A2" t="s">
        <v>6</v>
      </c>
      <c r="B2" s="2">
        <f>AVERAGE('Dataset for Data Analytics - cl'!G2:G1201)</f>
        <v>2.9458333333333333</v>
      </c>
      <c r="C2" s="2">
        <f>MEDIAN('Dataset for Data Analytics - cl'!G2:G1201)</f>
        <v>3</v>
      </c>
      <c r="D2" s="2">
        <f>_xlfn.STDEV.S('Dataset for Data Analytics - cl'!G2:G1201)</f>
        <v>1.4075570987983175</v>
      </c>
      <c r="E2">
        <f>MIN('Dataset for Data Analytics - cl'!G2:G1201)</f>
        <v>1</v>
      </c>
      <c r="F2">
        <f>MAX('Dataset for Data Analytics - cl'!G2:G1201)</f>
        <v>5</v>
      </c>
    </row>
    <row r="3" spans="1:6" x14ac:dyDescent="0.25">
      <c r="A3" t="s">
        <v>4296</v>
      </c>
      <c r="B3" s="2">
        <f>AVERAGE('Dataset for Data Analytics - cl'!H2:H1201)</f>
        <v>356.41275000000007</v>
      </c>
      <c r="C3" s="2">
        <f>MEDIAN('Dataset for Data Analytics - cl'!H2:H1201)</f>
        <v>364.21</v>
      </c>
      <c r="D3" s="2">
        <f>_xlfn.STDEV.S('Dataset for Data Analytics - cl'!H2:H1201)</f>
        <v>197.17714641491236</v>
      </c>
      <c r="E3">
        <f>MIN('Dataset for Data Analytics - cl'!H2:H1201)</f>
        <v>11.39</v>
      </c>
      <c r="F3">
        <f>MAX('Dataset for Data Analytics - cl'!H2:H1201)</f>
        <v>699.93</v>
      </c>
    </row>
    <row r="4" spans="1:6" x14ac:dyDescent="0.25">
      <c r="A4" t="s">
        <v>4297</v>
      </c>
      <c r="B4" s="2">
        <f>AVERAGE('Dataset for Data Analytics - cl'!M2:M1201)</f>
        <v>5.4850000000000003</v>
      </c>
      <c r="C4" s="2">
        <f>MEDIAN('Dataset for Data Analytics - cl'!M2:M1201)</f>
        <v>5</v>
      </c>
      <c r="D4" s="2">
        <f>_xlfn.STDEV.S('Dataset for Data Analytics - cl'!M2:M1201)</f>
        <v>2.2819833201028645</v>
      </c>
      <c r="E4">
        <f>MIN('Dataset for Data Analytics - cl'!M2:M1201)</f>
        <v>1</v>
      </c>
      <c r="F4" s="2">
        <f>MAX('Dataset for Data Analytics - cl'!M2:M1201)</f>
        <v>10</v>
      </c>
    </row>
    <row r="5" spans="1:6" x14ac:dyDescent="0.25">
      <c r="A5" t="s">
        <v>4298</v>
      </c>
      <c r="B5" s="2">
        <f>AVERAGE('Dataset for Data Analytics - cl'!P2:P1201)</f>
        <v>1053.9683000000005</v>
      </c>
      <c r="C5" s="2">
        <f>MEDIAN('Dataset for Data Analytics - cl'!P2:P1201)</f>
        <v>823.61500000000001</v>
      </c>
      <c r="D5" s="2">
        <f>_xlfn.STDEV.S('Dataset for Data Analytics - cl'!P2:P1201)</f>
        <v>819.85655836464559</v>
      </c>
      <c r="E5">
        <f>MIN('Dataset for Data Analytics - cl'!P2:P1201)</f>
        <v>11.39</v>
      </c>
      <c r="F5">
        <f>MAX('Dataset for Data Analytics - cl'!P2:P1201)</f>
        <v>3456.4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6E2C-847D-4E5C-8130-6EE6D126032E}">
  <dimension ref="A3:B11"/>
  <sheetViews>
    <sheetView workbookViewId="0">
      <selection activeCell="B4" sqref="B4"/>
    </sheetView>
  </sheetViews>
  <sheetFormatPr defaultRowHeight="15" x14ac:dyDescent="0.25"/>
  <cols>
    <col min="1" max="1" width="11.28515625" bestFit="1" customWidth="1"/>
    <col min="2" max="2" width="16.140625" bestFit="1" customWidth="1"/>
  </cols>
  <sheetData>
    <row r="3" spans="1:2" x14ac:dyDescent="0.25">
      <c r="A3" s="3" t="s">
        <v>4301</v>
      </c>
      <c r="B3" t="s">
        <v>4302</v>
      </c>
    </row>
    <row r="4" spans="1:2" x14ac:dyDescent="0.25">
      <c r="A4" s="4" t="s">
        <v>55</v>
      </c>
      <c r="B4" s="5">
        <v>181</v>
      </c>
    </row>
    <row r="5" spans="1:2" x14ac:dyDescent="0.25">
      <c r="A5" s="4" t="s">
        <v>37</v>
      </c>
      <c r="B5" s="5">
        <v>179</v>
      </c>
    </row>
    <row r="6" spans="1:2" x14ac:dyDescent="0.25">
      <c r="A6" s="4" t="s">
        <v>47</v>
      </c>
      <c r="B6" s="5">
        <v>178</v>
      </c>
    </row>
    <row r="7" spans="1:2" x14ac:dyDescent="0.25">
      <c r="A7" s="4" t="s">
        <v>65</v>
      </c>
      <c r="B7" s="5">
        <v>173</v>
      </c>
    </row>
    <row r="8" spans="1:2" x14ac:dyDescent="0.25">
      <c r="A8" s="4" t="s">
        <v>80</v>
      </c>
      <c r="B8" s="5">
        <v>170</v>
      </c>
    </row>
    <row r="9" spans="1:2" x14ac:dyDescent="0.25">
      <c r="A9" s="4" t="s">
        <v>20</v>
      </c>
      <c r="B9" s="5">
        <v>163</v>
      </c>
    </row>
    <row r="10" spans="1:2" x14ac:dyDescent="0.25">
      <c r="A10" s="4" t="s">
        <v>30</v>
      </c>
      <c r="B10" s="5">
        <v>156</v>
      </c>
    </row>
    <row r="11" spans="1:2" x14ac:dyDescent="0.25">
      <c r="A11" s="4" t="s">
        <v>4299</v>
      </c>
      <c r="B11" s="5">
        <v>1200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231E8-0C3A-4E13-86D2-542A705CBF08}">
  <dimension ref="A3:B9"/>
  <sheetViews>
    <sheetView workbookViewId="0">
      <selection activeCell="A3" sqref="A3:B9"/>
    </sheetView>
  </sheetViews>
  <sheetFormatPr defaultRowHeight="15" x14ac:dyDescent="0.25"/>
  <cols>
    <col min="1" max="1" width="11.28515625" bestFit="1" customWidth="1"/>
    <col min="2" max="2" width="16.140625" bestFit="1" customWidth="1"/>
  </cols>
  <sheetData>
    <row r="3" spans="1:2" x14ac:dyDescent="0.25">
      <c r="A3" s="3" t="s">
        <v>4303</v>
      </c>
      <c r="B3" t="s">
        <v>4302</v>
      </c>
    </row>
    <row r="4" spans="1:2" x14ac:dyDescent="0.25">
      <c r="A4" s="4" t="s">
        <v>40</v>
      </c>
      <c r="B4" s="5">
        <v>250</v>
      </c>
    </row>
    <row r="5" spans="1:2" x14ac:dyDescent="0.25">
      <c r="A5" s="4" t="s">
        <v>49</v>
      </c>
      <c r="B5" s="5">
        <v>247</v>
      </c>
    </row>
    <row r="6" spans="1:2" x14ac:dyDescent="0.25">
      <c r="A6" s="4" t="s">
        <v>96</v>
      </c>
      <c r="B6" s="5">
        <v>237</v>
      </c>
    </row>
    <row r="7" spans="1:2" x14ac:dyDescent="0.25">
      <c r="A7" s="4" t="s">
        <v>23</v>
      </c>
      <c r="B7" s="5">
        <v>235</v>
      </c>
    </row>
    <row r="8" spans="1:2" x14ac:dyDescent="0.25">
      <c r="A8" s="4" t="s">
        <v>57</v>
      </c>
      <c r="B8" s="5">
        <v>231</v>
      </c>
    </row>
    <row r="9" spans="1:2" x14ac:dyDescent="0.25">
      <c r="A9" s="4" t="s">
        <v>4299</v>
      </c>
      <c r="B9" s="5">
        <v>1200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85E9-3911-42CB-91DF-AA054D6499F5}">
  <dimension ref="A3:B9"/>
  <sheetViews>
    <sheetView workbookViewId="0">
      <selection activeCell="A3" sqref="A3"/>
    </sheetView>
  </sheetViews>
  <sheetFormatPr defaultRowHeight="15" x14ac:dyDescent="0.25"/>
  <cols>
    <col min="1" max="1" width="11.28515625" bestFit="1" customWidth="1"/>
    <col min="2" max="2" width="16.140625" bestFit="1" customWidth="1"/>
  </cols>
  <sheetData>
    <row r="3" spans="1:2" x14ac:dyDescent="0.25">
      <c r="A3" s="3" t="s">
        <v>34</v>
      </c>
      <c r="B3" t="s">
        <v>4302</v>
      </c>
    </row>
    <row r="4" spans="1:2" x14ac:dyDescent="0.25">
      <c r="A4" s="4" t="s">
        <v>26</v>
      </c>
      <c r="B4" s="5">
        <v>259</v>
      </c>
    </row>
    <row r="5" spans="1:2" x14ac:dyDescent="0.25">
      <c r="A5" s="4" t="s">
        <v>43</v>
      </c>
      <c r="B5" s="5">
        <v>250</v>
      </c>
    </row>
    <row r="6" spans="1:2" x14ac:dyDescent="0.25">
      <c r="A6" s="4" t="s">
        <v>83</v>
      </c>
      <c r="B6" s="5">
        <v>241</v>
      </c>
    </row>
    <row r="7" spans="1:2" x14ac:dyDescent="0.25">
      <c r="A7" s="4" t="s">
        <v>51</v>
      </c>
      <c r="B7" s="5">
        <v>228</v>
      </c>
    </row>
    <row r="8" spans="1:2" x14ac:dyDescent="0.25">
      <c r="A8" s="4" t="s">
        <v>34</v>
      </c>
      <c r="B8" s="5">
        <v>222</v>
      </c>
    </row>
    <row r="9" spans="1:2" x14ac:dyDescent="0.25">
      <c r="A9" s="4" t="s">
        <v>4299</v>
      </c>
      <c r="B9" s="5">
        <v>1200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708A-47A6-4122-A807-DC9CD5EE223D}">
  <dimension ref="A3:B8"/>
  <sheetViews>
    <sheetView workbookViewId="0">
      <selection activeCell="A3" sqref="A3:B8"/>
    </sheetView>
  </sheetViews>
  <sheetFormatPr defaultRowHeight="15" x14ac:dyDescent="0.25"/>
  <cols>
    <col min="1" max="1" width="11.28515625" bestFit="1" customWidth="1"/>
    <col min="2" max="2" width="16.140625" bestFit="1" customWidth="1"/>
  </cols>
  <sheetData>
    <row r="3" spans="1:2" x14ac:dyDescent="0.25">
      <c r="A3" s="3" t="s">
        <v>4304</v>
      </c>
      <c r="B3" t="s">
        <v>4302</v>
      </c>
    </row>
    <row r="4" spans="1:2" x14ac:dyDescent="0.25">
      <c r="A4" s="4" t="s">
        <v>42</v>
      </c>
      <c r="B4" s="5">
        <v>313</v>
      </c>
    </row>
    <row r="5" spans="1:2" x14ac:dyDescent="0.25">
      <c r="A5" s="4" t="s">
        <v>4305</v>
      </c>
      <c r="B5" s="5">
        <v>309</v>
      </c>
    </row>
    <row r="6" spans="1:2" x14ac:dyDescent="0.25">
      <c r="A6" s="4" t="s">
        <v>88</v>
      </c>
      <c r="B6" s="5">
        <v>292</v>
      </c>
    </row>
    <row r="7" spans="1:2" x14ac:dyDescent="0.25">
      <c r="A7" s="4" t="s">
        <v>25</v>
      </c>
      <c r="B7" s="5">
        <v>286</v>
      </c>
    </row>
    <row r="8" spans="1:2" x14ac:dyDescent="0.25">
      <c r="A8" s="4" t="s">
        <v>4299</v>
      </c>
      <c r="B8" s="5">
        <v>1200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FE78D-F531-4D45-9E89-3A3581EA6CE5}">
  <dimension ref="A3:B9"/>
  <sheetViews>
    <sheetView workbookViewId="0">
      <selection activeCell="A3" sqref="A3:B9"/>
    </sheetView>
  </sheetViews>
  <sheetFormatPr defaultRowHeight="15" x14ac:dyDescent="0.25"/>
  <cols>
    <col min="1" max="1" width="11.28515625" bestFit="1" customWidth="1"/>
    <col min="2" max="2" width="16.140625" bestFit="1" customWidth="1"/>
  </cols>
  <sheetData>
    <row r="3" spans="1:2" x14ac:dyDescent="0.25">
      <c r="A3" s="3" t="s">
        <v>4306</v>
      </c>
      <c r="B3" t="s">
        <v>4302</v>
      </c>
    </row>
    <row r="4" spans="1:2" x14ac:dyDescent="0.25">
      <c r="A4" s="4" t="s">
        <v>32</v>
      </c>
      <c r="B4" s="5">
        <v>258</v>
      </c>
    </row>
    <row r="5" spans="1:2" x14ac:dyDescent="0.25">
      <c r="A5" s="4" t="s">
        <v>72</v>
      </c>
      <c r="B5" s="5">
        <v>246</v>
      </c>
    </row>
    <row r="6" spans="1:2" x14ac:dyDescent="0.25">
      <c r="A6" s="4" t="s">
        <v>39</v>
      </c>
      <c r="B6" s="5">
        <v>234</v>
      </c>
    </row>
    <row r="7" spans="1:2" x14ac:dyDescent="0.25">
      <c r="A7" s="4" t="s">
        <v>22</v>
      </c>
      <c r="B7" s="5">
        <v>232</v>
      </c>
    </row>
    <row r="8" spans="1:2" x14ac:dyDescent="0.25">
      <c r="A8" s="4" t="s">
        <v>67</v>
      </c>
      <c r="B8" s="5">
        <v>230</v>
      </c>
    </row>
    <row r="9" spans="1:2" x14ac:dyDescent="0.25">
      <c r="A9" s="4" t="s">
        <v>4299</v>
      </c>
      <c r="B9" s="5">
        <v>1200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FF9A-5261-4AB2-97E5-D6F07DEABBCF}">
  <dimension ref="A3:B4"/>
  <sheetViews>
    <sheetView workbookViewId="0">
      <selection activeCell="I15" sqref="I15"/>
    </sheetView>
  </sheetViews>
  <sheetFormatPr defaultRowHeight="15" x14ac:dyDescent="0.25"/>
  <cols>
    <col min="1" max="1" width="16.140625" bestFit="1" customWidth="1"/>
    <col min="2" max="2" width="16.5703125" bestFit="1" customWidth="1"/>
  </cols>
  <sheetData>
    <row r="3" spans="1:2" x14ac:dyDescent="0.25">
      <c r="A3" t="s">
        <v>4302</v>
      </c>
      <c r="B3" t="s">
        <v>4300</v>
      </c>
    </row>
    <row r="4" spans="1:2" x14ac:dyDescent="0.25">
      <c r="A4" s="5">
        <v>1200</v>
      </c>
      <c r="B4" s="5">
        <v>1264761.9600000004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89D0-C88D-4185-A52E-C8334900D447}">
  <dimension ref="A3:B17"/>
  <sheetViews>
    <sheetView tabSelected="1" workbookViewId="0">
      <selection activeCell="M8" sqref="M8"/>
    </sheetView>
  </sheetViews>
  <sheetFormatPr defaultRowHeight="15" x14ac:dyDescent="0.25"/>
  <cols>
    <col min="1" max="1" width="11.28515625" bestFit="1" customWidth="1"/>
    <col min="2" max="2" width="18.140625" style="7" bestFit="1" customWidth="1"/>
  </cols>
  <sheetData>
    <row r="3" spans="1:2" x14ac:dyDescent="0.25">
      <c r="A3" s="3" t="s">
        <v>1</v>
      </c>
      <c r="B3" s="7" t="s">
        <v>4300</v>
      </c>
    </row>
    <row r="4" spans="1:2" x14ac:dyDescent="0.25">
      <c r="A4" s="4" t="s">
        <v>4307</v>
      </c>
      <c r="B4" s="7">
        <v>552643.24</v>
      </c>
    </row>
    <row r="5" spans="1:2" x14ac:dyDescent="0.25">
      <c r="A5" s="6" t="s">
        <v>4308</v>
      </c>
      <c r="B5" s="7">
        <v>145412.78</v>
      </c>
    </row>
    <row r="6" spans="1:2" x14ac:dyDescent="0.25">
      <c r="A6" s="6" t="s">
        <v>4309</v>
      </c>
      <c r="B6" s="7">
        <v>141088.73999999993</v>
      </c>
    </row>
    <row r="7" spans="1:2" x14ac:dyDescent="0.25">
      <c r="A7" s="6" t="s">
        <v>4310</v>
      </c>
      <c r="B7" s="7">
        <v>126699.47</v>
      </c>
    </row>
    <row r="8" spans="1:2" x14ac:dyDescent="0.25">
      <c r="A8" s="6" t="s">
        <v>4311</v>
      </c>
      <c r="B8" s="7">
        <v>139442.25000000009</v>
      </c>
    </row>
    <row r="9" spans="1:2" x14ac:dyDescent="0.25">
      <c r="A9" s="4" t="s">
        <v>4312</v>
      </c>
      <c r="B9" s="7">
        <v>480235.87000000005</v>
      </c>
    </row>
    <row r="10" spans="1:2" x14ac:dyDescent="0.25">
      <c r="A10" s="6" t="s">
        <v>4308</v>
      </c>
      <c r="B10" s="7">
        <v>111468.55</v>
      </c>
    </row>
    <row r="11" spans="1:2" x14ac:dyDescent="0.25">
      <c r="A11" s="6" t="s">
        <v>4309</v>
      </c>
      <c r="B11" s="7">
        <v>145590.79</v>
      </c>
    </row>
    <row r="12" spans="1:2" x14ac:dyDescent="0.25">
      <c r="A12" s="6" t="s">
        <v>4310</v>
      </c>
      <c r="B12" s="7">
        <v>114750.03000000001</v>
      </c>
    </row>
    <row r="13" spans="1:2" x14ac:dyDescent="0.25">
      <c r="A13" s="6" t="s">
        <v>4311</v>
      </c>
      <c r="B13" s="7">
        <v>108426.5</v>
      </c>
    </row>
    <row r="14" spans="1:2" x14ac:dyDescent="0.25">
      <c r="A14" s="4" t="s">
        <v>4313</v>
      </c>
      <c r="B14" s="7">
        <v>231882.84999999998</v>
      </c>
    </row>
    <row r="15" spans="1:2" x14ac:dyDescent="0.25">
      <c r="A15" s="6" t="s">
        <v>4308</v>
      </c>
      <c r="B15" s="7">
        <v>103617.60999999997</v>
      </c>
    </row>
    <row r="16" spans="1:2" x14ac:dyDescent="0.25">
      <c r="A16" s="6" t="s">
        <v>4309</v>
      </c>
      <c r="B16" s="7">
        <v>128265.24</v>
      </c>
    </row>
    <row r="17" spans="1:2" x14ac:dyDescent="0.25">
      <c r="A17" s="4" t="s">
        <v>4299</v>
      </c>
      <c r="B17" s="7">
        <v>1264761.96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D2B1-912F-416E-A888-EF2BA53948E4}">
  <dimension ref="A2:B6"/>
  <sheetViews>
    <sheetView workbookViewId="0">
      <selection activeCell="F7" sqref="F7"/>
    </sheetView>
  </sheetViews>
  <sheetFormatPr defaultRowHeight="15" x14ac:dyDescent="0.25"/>
  <cols>
    <col min="2" max="2" width="13.85546875" customWidth="1"/>
  </cols>
  <sheetData>
    <row r="2" spans="1:2" x14ac:dyDescent="0.25">
      <c r="A2" t="s">
        <v>18</v>
      </c>
      <c r="B2">
        <f>_xlfn.QUARTILE.INC('Dataset for Data Analytics - cl'!P2:P1201, 1)</f>
        <v>410.52</v>
      </c>
    </row>
    <row r="3" spans="1:2" x14ac:dyDescent="0.25">
      <c r="A3" t="s">
        <v>28</v>
      </c>
      <c r="B3">
        <f>_xlfn.QUARTILE.INC('Dataset for Data Analytics - cl'!P2:P1201, 3)</f>
        <v>1578.4749999999999</v>
      </c>
    </row>
    <row r="4" spans="1:2" x14ac:dyDescent="0.25">
      <c r="A4" t="s">
        <v>4314</v>
      </c>
      <c r="B4">
        <f>B3-B2</f>
        <v>1167.9549999999999</v>
      </c>
    </row>
    <row r="5" spans="1:2" x14ac:dyDescent="0.25">
      <c r="A5" t="s">
        <v>4315</v>
      </c>
      <c r="B5">
        <f>B2-1.5*B4</f>
        <v>-1341.4124999999999</v>
      </c>
    </row>
    <row r="6" spans="1:2" x14ac:dyDescent="0.25">
      <c r="A6" t="s">
        <v>4316</v>
      </c>
      <c r="B6">
        <f>B3+1.5*B4</f>
        <v>3330.4074999999998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 for Data Analytics - cl</vt:lpstr>
      <vt:lpstr>Summary Table</vt:lpstr>
      <vt:lpstr>Count Of Product</vt:lpstr>
      <vt:lpstr>Status Count</vt:lpstr>
      <vt:lpstr>Referral</vt:lpstr>
      <vt:lpstr>Coupon</vt:lpstr>
      <vt:lpstr>Payment</vt:lpstr>
      <vt:lpstr>Sum</vt:lpstr>
      <vt:lpstr>Trend</vt:lpstr>
      <vt:lpstr>Outliers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2026-10-14T11:51:04Z</dcterms:created>
  <dcterms:modified xsi:type="dcterms:W3CDTF">2026-10-14T15:14:59Z</dcterms:modified>
</cp:coreProperties>
</file>